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shitijhalder/Desktop/IANT/"/>
    </mc:Choice>
  </mc:AlternateContent>
  <xr:revisionPtr revIDLastSave="0" documentId="13_ncr:1_{5A18E0DD-45AB-D044-8BFA-FE975A246C50}" xr6:coauthVersionLast="47" xr6:coauthVersionMax="47" xr10:uidLastSave="{00000000-0000-0000-0000-000000000000}"/>
  <bookViews>
    <workbookView xWindow="0" yWindow="0" windowWidth="28800" windowHeight="18000" activeTab="2" xr2:uid="{A9F695AD-3CF6-AC44-929B-AD8FFF5C18CA}"/>
  </bookViews>
  <sheets>
    <sheet name="Marksheet" sheetId="1" r:id="rId1"/>
    <sheet name="Pivot (Marksheet)" sheetId="2" r:id="rId2"/>
    <sheet name="Nam" sheetId="3" r:id="rId3"/>
  </sheets>
  <definedNames>
    <definedName name="_xlchart.v1.0" hidden="1">Nam!$A$4:$A$26</definedName>
    <definedName name="_xlchart.v1.1" hidden="1">Nam!$B$3</definedName>
    <definedName name="_xlchart.v1.10" hidden="1">Nam!$F$4:$F$26</definedName>
    <definedName name="_xlchart.v1.11" hidden="1">Nam!$G$3</definedName>
    <definedName name="_xlchart.v1.12" hidden="1">Nam!$G$4:$G$26</definedName>
    <definedName name="_xlchart.v1.13" hidden="1">Nam!$H$3</definedName>
    <definedName name="_xlchart.v1.14" hidden="1">Nam!$H$4:$H$26</definedName>
    <definedName name="_xlchart.v1.15" hidden="1">Nam!$I$3</definedName>
    <definedName name="_xlchart.v1.16" hidden="1">Nam!$I$4:$I$26</definedName>
    <definedName name="_xlchart.v1.17" hidden="1">Nam!$J$3</definedName>
    <definedName name="_xlchart.v1.18" hidden="1">Nam!$J$4:$J$26</definedName>
    <definedName name="_xlchart.v1.19" hidden="1">Nam!$K$3</definedName>
    <definedName name="_xlchart.v1.2" hidden="1">Nam!$B$4:$B$26</definedName>
    <definedName name="_xlchart.v1.20" hidden="1">Nam!$K$4:$K$26</definedName>
    <definedName name="_xlchart.v1.21" hidden="1">Nam!$L$3</definedName>
    <definedName name="_xlchart.v1.22" hidden="1">Nam!$L$4:$L$26</definedName>
    <definedName name="_xlchart.v1.23" hidden="1">Nam!$M$3</definedName>
    <definedName name="_xlchart.v1.24" hidden="1">Nam!$M$4:$M$26</definedName>
    <definedName name="_xlchart.v1.25" hidden="1">Nam!$A$4:$A$26</definedName>
    <definedName name="_xlchart.v1.26" hidden="1">Nam!$B$3</definedName>
    <definedName name="_xlchart.v1.27" hidden="1">Nam!$B$4:$B$26</definedName>
    <definedName name="_xlchart.v1.28" hidden="1">Nam!$C$3</definedName>
    <definedName name="_xlchart.v1.29" hidden="1">Nam!$C$4:$C$26</definedName>
    <definedName name="_xlchart.v1.3" hidden="1">Nam!$C$3</definedName>
    <definedName name="_xlchart.v1.30" hidden="1">Nam!$D$3</definedName>
    <definedName name="_xlchart.v1.31" hidden="1">Nam!$D$4:$D$26</definedName>
    <definedName name="_xlchart.v1.32" hidden="1">Nam!$E$3</definedName>
    <definedName name="_xlchart.v1.33" hidden="1">Nam!$E$4:$E$26</definedName>
    <definedName name="_xlchart.v1.34" hidden="1">Nam!$F$3</definedName>
    <definedName name="_xlchart.v1.35" hidden="1">Nam!$F$4:$F$26</definedName>
    <definedName name="_xlchart.v1.36" hidden="1">Nam!$G$3</definedName>
    <definedName name="_xlchart.v1.37" hidden="1">Nam!$G$4:$G$26</definedName>
    <definedName name="_xlchart.v1.38" hidden="1">Nam!$H$3</definedName>
    <definedName name="_xlchart.v1.39" hidden="1">Nam!$H$4:$H$26</definedName>
    <definedName name="_xlchart.v1.4" hidden="1">Nam!$C$4:$C$26</definedName>
    <definedName name="_xlchart.v1.40" hidden="1">Nam!$I$3</definedName>
    <definedName name="_xlchart.v1.41" hidden="1">Nam!$I$4:$I$26</definedName>
    <definedName name="_xlchart.v1.42" hidden="1">Nam!$J$3</definedName>
    <definedName name="_xlchart.v1.43" hidden="1">Nam!$J$4:$J$26</definedName>
    <definedName name="_xlchart.v1.44" hidden="1">Nam!$K$3</definedName>
    <definedName name="_xlchart.v1.45" hidden="1">Nam!$K$4:$K$26</definedName>
    <definedName name="_xlchart.v1.46" hidden="1">Nam!$L$3</definedName>
    <definedName name="_xlchart.v1.47" hidden="1">Nam!$L$4:$L$26</definedName>
    <definedName name="_xlchart.v1.48" hidden="1">Nam!$M$3</definedName>
    <definedName name="_xlchart.v1.49" hidden="1">Nam!$M$4:$M$26</definedName>
    <definedName name="_xlchart.v1.5" hidden="1">Nam!$D$3</definedName>
    <definedName name="_xlchart.v1.6" hidden="1">Nam!$D$4:$D$26</definedName>
    <definedName name="_xlchart.v1.7" hidden="1">Nam!$E$3</definedName>
    <definedName name="_xlchart.v1.8" hidden="1">Nam!$E$4:$E$26</definedName>
    <definedName name="_xlchart.v1.9" hidden="1">Nam!$F$3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4" i="3"/>
  <c r="O4" i="1"/>
  <c r="O5" i="1"/>
  <c r="O6" i="1"/>
  <c r="O7" i="1"/>
  <c r="I8" i="1"/>
  <c r="M8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M4" i="1"/>
  <c r="M5" i="1"/>
  <c r="M6" i="1"/>
  <c r="M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J26" i="3" l="1"/>
  <c r="J10" i="3"/>
  <c r="K10" i="3" s="1"/>
  <c r="M10" i="3" s="1"/>
  <c r="J18" i="3"/>
  <c r="K18" i="3" s="1"/>
  <c r="M18" i="3" s="1"/>
  <c r="J24" i="3"/>
  <c r="K24" i="3" s="1"/>
  <c r="M24" i="3" s="1"/>
  <c r="J25" i="3"/>
  <c r="K25" i="3" s="1"/>
  <c r="M25" i="3" s="1"/>
  <c r="J17" i="3"/>
  <c r="K17" i="3" s="1"/>
  <c r="M17" i="3" s="1"/>
  <c r="J8" i="3"/>
  <c r="K8" i="3" s="1"/>
  <c r="M8" i="3" s="1"/>
  <c r="J7" i="3"/>
  <c r="K7" i="3" s="1"/>
  <c r="M7" i="3" s="1"/>
  <c r="J9" i="3"/>
  <c r="J16" i="3"/>
  <c r="K16" i="3" s="1"/>
  <c r="M16" i="3" s="1"/>
  <c r="J15" i="3"/>
  <c r="K15" i="3" s="1"/>
  <c r="M15" i="3" s="1"/>
  <c r="J23" i="3"/>
  <c r="K23" i="3" s="1"/>
  <c r="M23" i="3" s="1"/>
  <c r="J19" i="3"/>
  <c r="K19" i="3" s="1"/>
  <c r="M19" i="3" s="1"/>
  <c r="J11" i="3"/>
  <c r="K11" i="3" s="1"/>
  <c r="M11" i="3" s="1"/>
  <c r="K26" i="3"/>
  <c r="M26" i="3" s="1"/>
  <c r="J22" i="3"/>
  <c r="K22" i="3" s="1"/>
  <c r="M22" i="3" s="1"/>
  <c r="J13" i="3"/>
  <c r="J4" i="3"/>
  <c r="K4" i="3" s="1"/>
  <c r="M4" i="3" s="1"/>
  <c r="J6" i="3"/>
  <c r="K6" i="3" s="1"/>
  <c r="M6" i="3" s="1"/>
  <c r="J5" i="3"/>
  <c r="K5" i="3" s="1"/>
  <c r="M5" i="3" s="1"/>
  <c r="J12" i="3"/>
  <c r="K12" i="3" s="1"/>
  <c r="M12" i="3" s="1"/>
  <c r="J14" i="3"/>
  <c r="K14" i="3" s="1"/>
  <c r="M14" i="3" s="1"/>
  <c r="J21" i="3"/>
  <c r="K21" i="3" s="1"/>
  <c r="M21" i="3" s="1"/>
  <c r="J20" i="3"/>
  <c r="K20" i="3" s="1"/>
  <c r="M20" i="3" s="1"/>
  <c r="K13" i="3"/>
  <c r="M13" i="3" s="1"/>
  <c r="K9" i="3"/>
  <c r="M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82BED20A-981A-ED4F-8D8F-15D0C4D6A11E}">
      <text>
        <r>
          <rPr>
            <b/>
            <sz val="10"/>
            <color rgb="FF000000"/>
            <rFont val="Tahoma"/>
            <family val="2"/>
          </rPr>
          <t xml:space="preserve">Travel Allowance:
</t>
        </r>
        <r>
          <rPr>
            <sz val="10"/>
            <color rgb="FF000000"/>
            <rFont val="Calibri"/>
            <family val="2"/>
          </rPr>
          <t>TA is an allowance given to employees to cover the expenses incurred during official travel. This could include transportation, lodging, meals, and other related costs.</t>
        </r>
      </text>
    </comment>
    <comment ref="F3" authorId="0" shapeId="0" xr:uid="{A4A772DE-9171-8D47-AA42-3E108184245D}">
      <text>
        <r>
          <rPr>
            <b/>
            <sz val="10"/>
            <color rgb="FF000000"/>
            <rFont val="Tahoma"/>
            <family val="2"/>
          </rPr>
          <t xml:space="preserve">Dearness Allowance: </t>
        </r>
        <r>
          <rPr>
            <sz val="10"/>
            <color rgb="FF000000"/>
            <rFont val="Calibri"/>
            <family val="2"/>
          </rPr>
          <t>DA is a cost of living adjustment allowance paid to employees to help them cope with inflation and the rising prices of essential goods and services.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3" authorId="0" shapeId="0" xr:uid="{3673875E-127C-4944-B46C-8B60EDFAD420}">
      <text>
        <r>
          <rPr>
            <b/>
            <sz val="10"/>
            <color rgb="FF000000"/>
            <rFont val="Tahoma"/>
            <family val="2"/>
          </rPr>
          <t xml:space="preserve">House Rent Allowance: </t>
        </r>
        <r>
          <rPr>
            <sz val="10"/>
            <color rgb="FF000000"/>
            <rFont val="Calibri"/>
            <family val="2"/>
          </rPr>
          <t>HRA is an allowance given to employees to help them meet the cost of renting a house or accommodation.</t>
        </r>
      </text>
    </comment>
    <comment ref="H3" authorId="0" shapeId="0" xr:uid="{02B06386-AC92-CF44-B491-BD34B77779D4}">
      <text>
        <r>
          <rPr>
            <b/>
            <sz val="10"/>
            <color rgb="FF000000"/>
            <rFont val="Tahoma"/>
            <family val="2"/>
          </rPr>
          <t xml:space="preserve">Provident Fund:
</t>
        </r>
        <r>
          <rPr>
            <sz val="10"/>
            <color rgb="FF000000"/>
            <rFont val="Calibri"/>
            <family val="2"/>
          </rPr>
          <t>A Provident Fund (PF) is a government-backed retirement savings scheme. Both the employer and employee contribute a certain percentage of the employee’s salary to the PF, which is accumulated over the course of their employment.</t>
        </r>
      </text>
    </comment>
  </commentList>
</comments>
</file>

<file path=xl/sharedStrings.xml><?xml version="1.0" encoding="utf-8"?>
<sst xmlns="http://schemas.openxmlformats.org/spreadsheetml/2006/main" count="127" uniqueCount="81">
  <si>
    <t xml:space="preserve">Name </t>
  </si>
  <si>
    <t>Roll No.</t>
  </si>
  <si>
    <t>Maths</t>
  </si>
  <si>
    <t xml:space="preserve">Science </t>
  </si>
  <si>
    <t>S.S.</t>
  </si>
  <si>
    <t>English</t>
  </si>
  <si>
    <t>Hindi</t>
  </si>
  <si>
    <t>Total Marks</t>
  </si>
  <si>
    <t>Obtained Marks</t>
  </si>
  <si>
    <t>Min</t>
  </si>
  <si>
    <t>Max</t>
  </si>
  <si>
    <t>Avg</t>
  </si>
  <si>
    <t>Percentage</t>
  </si>
  <si>
    <t>Grade</t>
  </si>
  <si>
    <t>Result</t>
  </si>
  <si>
    <t>Adam</t>
  </si>
  <si>
    <t>Bella</t>
  </si>
  <si>
    <t>Charles</t>
  </si>
  <si>
    <t>Diana</t>
  </si>
  <si>
    <t>Edward</t>
  </si>
  <si>
    <t>Fiona</t>
  </si>
  <si>
    <t>George</t>
  </si>
  <si>
    <t>Hannah</t>
  </si>
  <si>
    <t>Ian</t>
  </si>
  <si>
    <t>Julia</t>
  </si>
  <si>
    <t>Kevin</t>
  </si>
  <si>
    <t>Lily</t>
  </si>
  <si>
    <t>Michael</t>
  </si>
  <si>
    <t>Nora</t>
  </si>
  <si>
    <t>Oliver</t>
  </si>
  <si>
    <t>Paul</t>
  </si>
  <si>
    <t>Quinn</t>
  </si>
  <si>
    <t>Rachel</t>
  </si>
  <si>
    <t>Samuel</t>
  </si>
  <si>
    <t>Thomas</t>
  </si>
  <si>
    <t>Ursula</t>
  </si>
  <si>
    <t>Victoria</t>
  </si>
  <si>
    <t>William</t>
  </si>
  <si>
    <t>Grand Total</t>
  </si>
  <si>
    <t>Row Labels</t>
  </si>
  <si>
    <t>Marksheet</t>
  </si>
  <si>
    <t>Sum of Percentage</t>
  </si>
  <si>
    <t>Age</t>
  </si>
  <si>
    <t>Company</t>
  </si>
  <si>
    <t>Designation</t>
  </si>
  <si>
    <t>TA</t>
  </si>
  <si>
    <t>DA</t>
  </si>
  <si>
    <t>HRA</t>
  </si>
  <si>
    <t>PF</t>
  </si>
  <si>
    <t>Gross Salary</t>
  </si>
  <si>
    <t>Net Salary</t>
  </si>
  <si>
    <t>Basic Salary</t>
  </si>
  <si>
    <t>Fixed 
Component</t>
  </si>
  <si>
    <t>Fixed
Allowance</t>
  </si>
  <si>
    <t>Variable
Components (Emplyee Benefits)</t>
  </si>
  <si>
    <t>Advance</t>
  </si>
  <si>
    <t>Actual Salary</t>
  </si>
  <si>
    <t>Chief Executive Officer (CEO)</t>
  </si>
  <si>
    <t>Chief Technology Officer (CTO)</t>
  </si>
  <si>
    <t>General Manager (GM)</t>
  </si>
  <si>
    <t>Vice President (VP)</t>
  </si>
  <si>
    <t>Director</t>
  </si>
  <si>
    <t>Assistant Manager</t>
  </si>
  <si>
    <t>Team Lead</t>
  </si>
  <si>
    <t>Human Resources (HR) Executive</t>
  </si>
  <si>
    <t>Accountant</t>
  </si>
  <si>
    <t>IT Administrator</t>
  </si>
  <si>
    <t>Compliance Officer</t>
  </si>
  <si>
    <t>Marketing Executive</t>
  </si>
  <si>
    <t>Project Manager</t>
  </si>
  <si>
    <t>Secretary</t>
  </si>
  <si>
    <t>Office Assistant</t>
  </si>
  <si>
    <t>Data Entry Operator</t>
  </si>
  <si>
    <t>Receptionist</t>
  </si>
  <si>
    <t>Software Developer / Engineer</t>
  </si>
  <si>
    <t>Network Administrator</t>
  </si>
  <si>
    <t>Graphic Designer</t>
  </si>
  <si>
    <t>Intern / Trainee</t>
  </si>
  <si>
    <t>Junior Associate</t>
  </si>
  <si>
    <t>Security Guard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</si>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</sst>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75" formatCode="[$₹-4009]\ #,##0"/>
  </numFmts>
  <fonts count="9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0"/>
      <name val="Calibri"/>
      <family val="2"/>
      <scheme val="minor"/>
    </font>
    <font>
      <sz val="26"/>
      <color theme="0"/>
      <name val="Gill Sans MT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6"/>
      <color theme="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rgb="FF62472C"/>
        <bgColor indexed="64"/>
      </patternFill>
    </fill>
    <fill>
      <patternFill patternType="solid">
        <fgColor rgb="FFBA8653"/>
        <bgColor indexed="64"/>
      </patternFill>
    </fill>
    <fill>
      <patternFill patternType="solid">
        <fgColor rgb="FFA57E9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4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Border="1" applyAlignment="1">
      <alignment horizontal="left" wrapText="1"/>
    </xf>
    <xf numFmtId="0" fontId="8" fillId="4" borderId="0" xfId="0" applyFont="1" applyFill="1" applyBorder="1" applyAlignment="1">
      <alignment horizontal="left"/>
    </xf>
    <xf numFmtId="0" fontId="0" fillId="0" borderId="0" xfId="0" applyAlignment="1">
      <alignment wrapText="1"/>
    </xf>
    <xf numFmtId="9" fontId="0" fillId="0" borderId="0" xfId="0" applyNumberFormat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0" xfId="0" applyFont="1"/>
    <xf numFmtId="175" fontId="0" fillId="0" borderId="0" xfId="0" applyNumberFormat="1"/>
    <xf numFmtId="0" fontId="0" fillId="5" borderId="0" xfId="0" applyFill="1"/>
    <xf numFmtId="0" fontId="0" fillId="5" borderId="0" xfId="0" applyFont="1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9" fontId="0" fillId="0" borderId="0" xfId="0" applyNumberFormat="1" applyBorder="1" applyAlignment="1">
      <alignment horizontal="left" vertical="center"/>
    </xf>
    <xf numFmtId="0" fontId="0" fillId="5" borderId="0" xfId="0" applyFill="1" applyBorder="1"/>
    <xf numFmtId="175" fontId="0" fillId="0" borderId="0" xfId="2" applyNumberFormat="1" applyFont="1" applyBorder="1"/>
    <xf numFmtId="175" fontId="0" fillId="0" borderId="0" xfId="0" applyNumberFormat="1" applyBorder="1"/>
    <xf numFmtId="175" fontId="2" fillId="0" borderId="0" xfId="0" applyNumberFormat="1" applyFont="1" applyBorder="1"/>
    <xf numFmtId="0" fontId="8" fillId="3" borderId="4" xfId="0" applyFont="1" applyFill="1" applyBorder="1" applyAlignment="1">
      <alignment wrapText="1"/>
    </xf>
  </cellXfs>
  <cellStyles count="3">
    <cellStyle name="Currency" xfId="2" builtinId="4"/>
    <cellStyle name="Normal" xfId="0" builtinId="0"/>
    <cellStyle name="Percent" xfId="1" builtinId="5"/>
  </cellStyles>
  <dxfs count="18">
    <dxf>
      <numFmt numFmtId="175" formatCode="[$₹-4009]\ #,##0"/>
    </dxf>
    <dxf>
      <numFmt numFmtId="175" formatCode="[$₹-4009]\ #,##0"/>
    </dxf>
    <dxf>
      <fill>
        <patternFill patternType="solid">
          <fgColor indexed="64"/>
          <bgColor rgb="FF00B050"/>
        </patternFill>
      </fill>
    </dxf>
    <dxf>
      <numFmt numFmtId="175" formatCode="[$₹-4009]\ #,##0"/>
    </dxf>
    <dxf>
      <numFmt numFmtId="175" formatCode="[$₹-4009]\ #,##0"/>
    </dxf>
    <dxf>
      <numFmt numFmtId="175" formatCode="[$₹-4009]\ #,##0"/>
    </dxf>
    <dxf>
      <numFmt numFmtId="175" formatCode="[$₹-4009]\ #,##0"/>
    </dxf>
    <dxf>
      <numFmt numFmtId="175" formatCode="[$₹-4009]\ #,##0"/>
    </dxf>
    <dxf>
      <numFmt numFmtId="175" formatCode="[$₹-4009]\ #,##0"/>
    </dxf>
    <dxf>
      <numFmt numFmtId="175" formatCode="[$₹-4009]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</dxfs>
  <tableStyles count="0" defaultTableStyle="TableStyleMedium2" defaultPivotStyle="PivotStyleLight16"/>
  <colors>
    <mruColors>
      <color rgb="FFBA8653"/>
      <color rgb="FFA57E91"/>
      <color rgb="FF624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Starter.xlsx]Pivot (Marksheet)!PivotTable1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(Marksheet)'!$B$3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(Marksheet)'!$A$4:$A$27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'Pivot (Marksheet)'!$B$4:$B$27</c:f>
              <c:numCache>
                <c:formatCode>0%</c:formatCode>
                <c:ptCount val="23"/>
                <c:pt idx="0">
                  <c:v>0.68400000000000005</c:v>
                </c:pt>
                <c:pt idx="1">
                  <c:v>0.69199999999999995</c:v>
                </c:pt>
                <c:pt idx="2">
                  <c:v>0.56799999999999995</c:v>
                </c:pt>
                <c:pt idx="3">
                  <c:v>0.49</c:v>
                </c:pt>
                <c:pt idx="4">
                  <c:v>0.51600000000000001</c:v>
                </c:pt>
                <c:pt idx="5">
                  <c:v>0.34599999999999997</c:v>
                </c:pt>
                <c:pt idx="6">
                  <c:v>0.51800000000000002</c:v>
                </c:pt>
                <c:pt idx="7">
                  <c:v>0.38200000000000001</c:v>
                </c:pt>
                <c:pt idx="8">
                  <c:v>0.51200000000000001</c:v>
                </c:pt>
                <c:pt idx="9">
                  <c:v>0.36399999999999999</c:v>
                </c:pt>
                <c:pt idx="10">
                  <c:v>0.36599999999999999</c:v>
                </c:pt>
                <c:pt idx="11">
                  <c:v>0.65200000000000002</c:v>
                </c:pt>
                <c:pt idx="12">
                  <c:v>0.61799999999999999</c:v>
                </c:pt>
                <c:pt idx="13">
                  <c:v>0.73199999999999998</c:v>
                </c:pt>
                <c:pt idx="14">
                  <c:v>0.65</c:v>
                </c:pt>
                <c:pt idx="15">
                  <c:v>0.75800000000000001</c:v>
                </c:pt>
                <c:pt idx="16">
                  <c:v>0.78400000000000003</c:v>
                </c:pt>
                <c:pt idx="17">
                  <c:v>0.72199999999999998</c:v>
                </c:pt>
                <c:pt idx="18">
                  <c:v>0.78</c:v>
                </c:pt>
                <c:pt idx="19">
                  <c:v>0.82199999999999995</c:v>
                </c:pt>
                <c:pt idx="20">
                  <c:v>0.80600000000000005</c:v>
                </c:pt>
                <c:pt idx="21">
                  <c:v>0.79</c:v>
                </c:pt>
                <c:pt idx="22">
                  <c:v>0.72199999999999998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A-564F-90C1-3729420ACF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61070688"/>
        <c:axId val="1916866608"/>
      </c:barChart>
      <c:catAx>
        <c:axId val="46107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66608"/>
        <c:crosses val="autoZero"/>
        <c:auto val="1"/>
        <c:lblAlgn val="ctr"/>
        <c:lblOffset val="100"/>
        <c:noMultiLvlLbl val="0"/>
      </c:catAx>
      <c:valAx>
        <c:axId val="19168666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3</xdr:row>
      <xdr:rowOff>151525</xdr:rowOff>
    </xdr:from>
    <xdr:to>
      <xdr:col>8</xdr:col>
      <xdr:colOff>1384300</xdr:colOff>
      <xdr:row>26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34E7B-3813-9772-22D6-1BCCA2870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16.840867129627" createdVersion="8" refreshedVersion="8" minRefreshableVersion="3" recordCount="23" xr:uid="{8CB28809-5096-904E-B241-856CA1B7D325}">
  <cacheSource type="worksheet">
    <worksheetSource name="Table1"/>
  </cacheSource>
  <cacheFields count="15">
    <cacheField name="Roll No.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Name " numFmtId="0">
      <sharedItems/>
    </cacheField>
    <cacheField name="Maths" numFmtId="0">
      <sharedItems containsSemiMixedTypes="0" containsString="0" containsNumber="1" containsInteger="1" minValue="3" maxValue="84"/>
    </cacheField>
    <cacheField name="Science " numFmtId="0">
      <sharedItems containsSemiMixedTypes="0" containsString="0" containsNumber="1" containsInteger="1" minValue="9" maxValue="99"/>
    </cacheField>
    <cacheField name="S.S." numFmtId="0">
      <sharedItems containsSemiMixedTypes="0" containsString="0" containsNumber="1" containsInteger="1" minValue="33" maxValue="96"/>
    </cacheField>
    <cacheField name="English" numFmtId="0">
      <sharedItems containsSemiMixedTypes="0" containsString="0" containsNumber="1" containsInteger="1" minValue="8" maxValue="97"/>
    </cacheField>
    <cacheField name="Hindi" numFmtId="0">
      <sharedItems containsSemiMixedTypes="0" containsString="0" containsNumber="1" containsInteger="1" minValue="27" maxValue="99"/>
    </cacheField>
    <cacheField name="Total Marks" numFmtId="0">
      <sharedItems containsSemiMixedTypes="0" containsString="0" containsNumber="1" containsInteger="1" minValue="500" maxValue="500"/>
    </cacheField>
    <cacheField name="Obtained Marks" numFmtId="0">
      <sharedItems containsSemiMixedTypes="0" containsString="0" containsNumber="1" containsInteger="1" minValue="173" maxValue="411"/>
    </cacheField>
    <cacheField name="Min" numFmtId="0">
      <sharedItems containsSemiMixedTypes="0" containsString="0" containsNumber="1" containsInteger="1" minValue="3" maxValue="73"/>
    </cacheField>
    <cacheField name="Max" numFmtId="0">
      <sharedItems containsSemiMixedTypes="0" containsString="0" containsNumber="1" containsInteger="1" minValue="45" maxValue="99"/>
    </cacheField>
    <cacheField name="Avg" numFmtId="0">
      <sharedItems containsSemiMixedTypes="0" containsString="0" containsNumber="1" minValue="34.6" maxValue="82.2"/>
    </cacheField>
    <cacheField name="Percentage" numFmtId="164">
      <sharedItems containsSemiMixedTypes="0" containsString="0" containsNumber="1" minValue="0.34599999999999997" maxValue="0.82199999999999995"/>
    </cacheField>
    <cacheField name="Grade" numFmtId="0">
      <sharedItems count="5">
        <s v="D"/>
        <s v="E"/>
        <s v="F"/>
        <s v="C"/>
        <s v="B"/>
      </sharedItems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Adam"/>
    <n v="35"/>
    <n v="36"/>
    <n v="95"/>
    <n v="97"/>
    <n v="79"/>
    <n v="500"/>
    <n v="342"/>
    <n v="35"/>
    <n v="97"/>
    <n v="68.400000000000006"/>
    <n v="0.68400000000000005"/>
    <x v="0"/>
    <s v="PASS"/>
  </r>
  <r>
    <x v="1"/>
    <s v="Bella"/>
    <n v="78"/>
    <n v="78"/>
    <n v="55"/>
    <n v="68"/>
    <n v="67"/>
    <n v="500"/>
    <n v="346"/>
    <n v="55"/>
    <n v="78"/>
    <n v="69.2"/>
    <n v="0.69199999999999995"/>
    <x v="0"/>
    <s v="PASS"/>
  </r>
  <r>
    <x v="2"/>
    <s v="Charles"/>
    <n v="57"/>
    <n v="57"/>
    <n v="59"/>
    <n v="54"/>
    <n v="57"/>
    <n v="500"/>
    <n v="284"/>
    <n v="54"/>
    <n v="59"/>
    <n v="56.8"/>
    <n v="0.56799999999999995"/>
    <x v="1"/>
    <s v="PASS"/>
  </r>
  <r>
    <x v="3"/>
    <s v="Diana"/>
    <n v="47"/>
    <n v="57"/>
    <n v="49"/>
    <n v="46"/>
    <n v="46"/>
    <n v="500"/>
    <n v="245"/>
    <n v="46"/>
    <n v="57"/>
    <n v="49"/>
    <n v="0.49"/>
    <x v="2"/>
    <s v="PASS"/>
  </r>
  <r>
    <x v="4"/>
    <s v="Edward"/>
    <n v="46"/>
    <n v="86"/>
    <n v="47"/>
    <n v="44"/>
    <n v="35"/>
    <n v="500"/>
    <n v="258"/>
    <n v="35"/>
    <n v="86"/>
    <n v="51.6"/>
    <n v="0.51600000000000001"/>
    <x v="1"/>
    <s v="PASS"/>
  </r>
  <r>
    <x v="5"/>
    <s v="Fiona"/>
    <n v="38"/>
    <n v="25"/>
    <n v="33"/>
    <n v="45"/>
    <n v="32"/>
    <n v="500"/>
    <n v="173"/>
    <n v="25"/>
    <n v="45"/>
    <n v="34.6"/>
    <n v="0.34599999999999997"/>
    <x v="2"/>
    <s v="FAIL"/>
  </r>
  <r>
    <x v="6"/>
    <s v="George"/>
    <n v="37"/>
    <n v="83"/>
    <n v="64"/>
    <n v="47"/>
    <n v="28"/>
    <n v="500"/>
    <n v="259"/>
    <n v="28"/>
    <n v="83"/>
    <n v="51.8"/>
    <n v="0.51800000000000002"/>
    <x v="1"/>
    <s v="PASS"/>
  </r>
  <r>
    <x v="7"/>
    <s v="Hannah"/>
    <n v="37"/>
    <n v="57"/>
    <n v="33"/>
    <n v="37"/>
    <n v="27"/>
    <n v="500"/>
    <n v="191"/>
    <n v="27"/>
    <n v="57"/>
    <n v="38.200000000000003"/>
    <n v="0.38200000000000001"/>
    <x v="2"/>
    <s v="PASS"/>
  </r>
  <r>
    <x v="8"/>
    <s v="Ian"/>
    <n v="74"/>
    <n v="47"/>
    <n v="64"/>
    <n v="33"/>
    <n v="38"/>
    <n v="500"/>
    <n v="256"/>
    <n v="33"/>
    <n v="74"/>
    <n v="51.2"/>
    <n v="0.51200000000000001"/>
    <x v="1"/>
    <s v="PASS"/>
  </r>
  <r>
    <x v="9"/>
    <s v="Julia"/>
    <n v="8"/>
    <n v="46"/>
    <n v="75"/>
    <n v="25"/>
    <n v="28"/>
    <n v="500"/>
    <n v="182"/>
    <n v="8"/>
    <n v="75"/>
    <n v="36.4"/>
    <n v="0.36399999999999999"/>
    <x v="2"/>
    <s v="PASS"/>
  </r>
  <r>
    <x v="10"/>
    <s v="Kevin"/>
    <n v="3"/>
    <n v="37"/>
    <n v="96"/>
    <n v="18"/>
    <n v="29"/>
    <n v="500"/>
    <n v="183"/>
    <n v="3"/>
    <n v="96"/>
    <n v="36.6"/>
    <n v="0.36599999999999999"/>
    <x v="2"/>
    <s v="PASS"/>
  </r>
  <r>
    <x v="11"/>
    <s v="Lily"/>
    <n v="73"/>
    <n v="78"/>
    <n v="43"/>
    <n v="36"/>
    <n v="96"/>
    <n v="500"/>
    <n v="326"/>
    <n v="36"/>
    <n v="96"/>
    <n v="65.2"/>
    <n v="0.65200000000000002"/>
    <x v="0"/>
    <s v="PASS"/>
  </r>
  <r>
    <x v="12"/>
    <s v="Michael"/>
    <n v="74"/>
    <n v="68"/>
    <n v="62"/>
    <n v="8"/>
    <n v="97"/>
    <n v="500"/>
    <n v="309"/>
    <n v="8"/>
    <n v="97"/>
    <n v="61.8"/>
    <n v="0.61799999999999999"/>
    <x v="0"/>
    <s v="PASS"/>
  </r>
  <r>
    <x v="13"/>
    <s v="Nora"/>
    <n v="66"/>
    <n v="96"/>
    <n v="52"/>
    <n v="58"/>
    <n v="94"/>
    <n v="500"/>
    <n v="366"/>
    <n v="52"/>
    <n v="96"/>
    <n v="73.2"/>
    <n v="0.73199999999999998"/>
    <x v="3"/>
    <s v="PASS"/>
  </r>
  <r>
    <x v="14"/>
    <s v="Oliver"/>
    <n v="74"/>
    <n v="69"/>
    <n v="41"/>
    <n v="57"/>
    <n v="84"/>
    <n v="500"/>
    <n v="325"/>
    <n v="41"/>
    <n v="84"/>
    <n v="65"/>
    <n v="0.65"/>
    <x v="0"/>
    <s v="PASS"/>
  </r>
  <r>
    <x v="15"/>
    <s v="Paul"/>
    <n v="74"/>
    <n v="67"/>
    <n v="77"/>
    <n v="68"/>
    <n v="93"/>
    <n v="500"/>
    <n v="379"/>
    <n v="67"/>
    <n v="93"/>
    <n v="75.8"/>
    <n v="0.75800000000000001"/>
    <x v="3"/>
    <s v="PASS"/>
  </r>
  <r>
    <x v="16"/>
    <s v="Quinn"/>
    <n v="36"/>
    <n v="89"/>
    <n v="86"/>
    <n v="97"/>
    <n v="84"/>
    <n v="500"/>
    <n v="392"/>
    <n v="36"/>
    <n v="97"/>
    <n v="78.400000000000006"/>
    <n v="0.78400000000000003"/>
    <x v="3"/>
    <s v="PASS"/>
  </r>
  <r>
    <x v="17"/>
    <s v="Rachel"/>
    <n v="83"/>
    <n v="9"/>
    <n v="89"/>
    <n v="97"/>
    <n v="83"/>
    <n v="500"/>
    <n v="361"/>
    <n v="9"/>
    <n v="97"/>
    <n v="72.2"/>
    <n v="0.72199999999999998"/>
    <x v="3"/>
    <s v="PASS"/>
  </r>
  <r>
    <x v="18"/>
    <s v="Samuel"/>
    <n v="84"/>
    <n v="77"/>
    <n v="78"/>
    <n v="78"/>
    <n v="73"/>
    <n v="500"/>
    <n v="390"/>
    <n v="73"/>
    <n v="84"/>
    <n v="78"/>
    <n v="0.78"/>
    <x v="3"/>
    <s v="PASS"/>
  </r>
  <r>
    <x v="19"/>
    <s v="Thomas"/>
    <n v="56"/>
    <n v="97"/>
    <n v="89"/>
    <n v="76"/>
    <n v="93"/>
    <n v="500"/>
    <n v="411"/>
    <n v="56"/>
    <n v="97"/>
    <n v="82.2"/>
    <n v="0.82199999999999995"/>
    <x v="4"/>
    <s v="PASS"/>
  </r>
  <r>
    <x v="20"/>
    <s v="Ursula"/>
    <n v="37"/>
    <n v="97"/>
    <n v="77"/>
    <n v="97"/>
    <n v="95"/>
    <n v="500"/>
    <n v="403"/>
    <n v="37"/>
    <n v="97"/>
    <n v="80.599999999999994"/>
    <n v="0.80600000000000005"/>
    <x v="4"/>
    <s v="PASS"/>
  </r>
  <r>
    <x v="21"/>
    <s v="Victoria"/>
    <n v="48"/>
    <n v="99"/>
    <n v="54"/>
    <n v="95"/>
    <n v="99"/>
    <n v="500"/>
    <n v="395"/>
    <n v="48"/>
    <n v="99"/>
    <n v="79"/>
    <n v="0.79"/>
    <x v="3"/>
    <s v="PASS"/>
  </r>
  <r>
    <x v="22"/>
    <s v="William"/>
    <n v="58"/>
    <n v="57"/>
    <n v="76"/>
    <n v="93"/>
    <n v="77"/>
    <n v="500"/>
    <n v="361"/>
    <n v="57"/>
    <n v="93"/>
    <n v="72.2"/>
    <n v="0.72199999999999998"/>
    <x v="3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EA8AF-73D3-3944-9A5F-D73965E780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7" firstHeaderRow="1" firstDataRow="1" firstDataCol="1"/>
  <pivotFields count="15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6">
        <item x="4"/>
        <item x="3"/>
        <item x="0"/>
        <item x="1"/>
        <item x="2"/>
        <item t="default"/>
      </items>
    </pivotField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Percentage" fld="12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2ECB3-58E9-CD45-99E6-1336DC59723B}" name="Table1" displayName="Table1" ref="A2:O25" totalsRowShown="0">
  <autoFilter ref="A2:O25" xr:uid="{9C52ECB3-58E9-CD45-99E6-1336DC59723B}"/>
  <tableColumns count="15">
    <tableColumn id="1" xr3:uid="{007BC3F4-B49C-F544-9B87-90905D6AFAEE}" name="Roll No."/>
    <tableColumn id="2" xr3:uid="{6A8F9A60-D44A-A44B-8CA5-15F529FCC34A}" name="Name " dataDxfId="17"/>
    <tableColumn id="3" xr3:uid="{B376F2A2-F1E6-3B40-9F01-E342E77B6E0E}" name="Maths"/>
    <tableColumn id="4" xr3:uid="{2DB9BF43-5CF9-9D4F-918F-AB38F4590D48}" name="Science " dataDxfId="16"/>
    <tableColumn id="5" xr3:uid="{CD5E8CFA-A165-7F40-B47C-77DA2A0C52BE}" name="S.S." dataDxfId="15"/>
    <tableColumn id="6" xr3:uid="{31F911E3-AFD3-E04B-8DEE-7237C273E3C4}" name="English" dataDxfId="14"/>
    <tableColumn id="7" xr3:uid="{96C3C6E1-8D0E-9049-8B3C-2A437C4A8CDB}" name="Hindi" dataDxfId="13"/>
    <tableColumn id="8" xr3:uid="{FBABAB5A-649A-4F4A-BCD1-479335F89DEC}" name="Total Marks"/>
    <tableColumn id="9" xr3:uid="{B7ED1EA2-B623-104B-ABA4-6B8F54F568DA}" name="Obtained Marks">
      <calculatedColumnFormula>SUM(C3:G3)</calculatedColumnFormula>
    </tableColumn>
    <tableColumn id="10" xr3:uid="{AAB0F33A-EC95-EC48-B3CA-9A62B5651BF8}" name="Min">
      <calculatedColumnFormula>MIN(C3:G3)</calculatedColumnFormula>
    </tableColumn>
    <tableColumn id="11" xr3:uid="{6F1454EC-ADED-3D48-A018-75A4EA128D72}" name="Max">
      <calculatedColumnFormula>MAX(C3:G3)</calculatedColumnFormula>
    </tableColumn>
    <tableColumn id="12" xr3:uid="{F869511A-2FDD-4B41-AF2D-61788CE212E6}" name="Avg">
      <calculatedColumnFormula>AVERAGE(C3:G3)</calculatedColumnFormula>
    </tableColumn>
    <tableColumn id="13" xr3:uid="{8F4A1E7F-5CDC-204D-A65C-A0C6ED15F3A0}" name="Percentage" dataDxfId="12" dataCellStyle="Percent">
      <calculatedColumnFormula>_xlfn.PERCENTOF(I3,H3)</calculatedColumnFormula>
    </tableColumn>
    <tableColumn id="14" xr3:uid="{5DE130F0-2D15-624B-A101-51F980922E16}" name="Grade">
      <calculatedColumnFormula>IF(M3&gt;=90%,"A",IF(M3&gt;=80%,"B",IF(M3&gt;=70%,"C",IF(M3&gt;=60%,"D",IF(M3&gt;=50%,"E",IF(M3&lt;50,"F"))))))</calculatedColumnFormula>
    </tableColumn>
    <tableColumn id="15" xr3:uid="{5A963278-E4B7-254B-BB41-C4DF76D5F934}" name="Result">
      <calculatedColumnFormula>IF(M3&gt;=35%,"PASS","FAIL")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84D48-BE0E-B949-BEB8-4A5A614CC980}" name="Table2" displayName="Table2" ref="A3:M26" totalsRowShown="0" headerRowDxfId="2">
  <autoFilter ref="A3:M26" xr:uid="{E1184D48-BE0E-B949-BEB8-4A5A614CC980}"/>
  <tableColumns count="13">
    <tableColumn id="1" xr3:uid="{DF1DCAFB-DA2A-5846-B5F2-3F2106EAF2C8}" name="Name " dataDxfId="11"/>
    <tableColumn id="2" xr3:uid="{E125EF74-16DE-804A-9B50-BE34F1264AA9}" name="Age"/>
    <tableColumn id="3" xr3:uid="{A3E2E9E8-3E31-2945-A7FE-1653DBCCFC69}" name="Company"/>
    <tableColumn id="4" xr3:uid="{2D091585-3D23-644E-A897-742AAB03F32A}" name="Designation" dataDxfId="10"/>
    <tableColumn id="6" xr3:uid="{1942E263-E0FB-2043-8BBD-D60A3C95EF18}" name="TA" dataDxfId="9"/>
    <tableColumn id="7" xr3:uid="{E236811E-499D-4F4A-A30A-62DCF6FB96E9}" name="DA" dataDxfId="8">
      <calculatedColumnFormula>5%*I4</calculatedColumnFormula>
    </tableColumn>
    <tableColumn id="8" xr3:uid="{D5EE08AD-C200-154C-9AB0-19C894CBFB08}" name="HRA" dataDxfId="7">
      <calculatedColumnFormula>40%*I4</calculatedColumnFormula>
    </tableColumn>
    <tableColumn id="9" xr3:uid="{B506765C-E685-C145-981A-B86E6FF3FE41}" name="PF" dataDxfId="6">
      <calculatedColumnFormula>12%*I4</calculatedColumnFormula>
    </tableColumn>
    <tableColumn id="15" xr3:uid="{A586DD9B-8A34-0643-A5FA-9879C1E4F686}" name="Basic Salary" dataDxfId="0"/>
    <tableColumn id="10" xr3:uid="{04AB4F59-3BAE-9C42-80AD-75BBF4FCA7AC}" name="Gross Salary" dataDxfId="1">
      <calculatedColumnFormula>SUM(E4:G4)</calculatedColumnFormula>
    </tableColumn>
    <tableColumn id="11" xr3:uid="{5483A14F-B75A-ED49-9FB8-0DB76B0712C9}" name="Net Salary" dataDxfId="5">
      <calculatedColumnFormula>J4-H4</calculatedColumnFormula>
    </tableColumn>
    <tableColumn id="12" xr3:uid="{2F7BBC5F-CDCC-6E47-9AEA-22B8D641C563}" name="Advance" dataDxfId="4"/>
    <tableColumn id="13" xr3:uid="{2A5A4924-FF92-8741-BFB1-330207285690}" name="Actual Salary" dataDxfId="3">
      <calculatedColumnFormula>K4-L4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50C0-E340-3B4D-A5E7-17BCCBEADF11}">
  <dimension ref="A1:O25"/>
  <sheetViews>
    <sheetView topLeftCell="A2" workbookViewId="0">
      <selection activeCell="B2" sqref="B1:B1048576"/>
    </sheetView>
  </sheetViews>
  <sheetFormatPr baseColWidth="10" defaultRowHeight="21" x14ac:dyDescent="0.25"/>
  <cols>
    <col min="1" max="1" width="9.375" customWidth="1"/>
    <col min="4" max="4" width="9.5" customWidth="1"/>
    <col min="8" max="8" width="12.75" customWidth="1"/>
    <col min="9" max="9" width="16.375" customWidth="1"/>
    <col min="13" max="13" width="12.25" customWidth="1"/>
  </cols>
  <sheetData>
    <row r="1" spans="1:15" ht="50" customHeight="1" x14ac:dyDescent="0.25">
      <c r="A1" s="6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x14ac:dyDescent="0.25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1</v>
      </c>
      <c r="B3" s="1" t="s">
        <v>15</v>
      </c>
      <c r="C3">
        <v>35</v>
      </c>
      <c r="D3">
        <v>36</v>
      </c>
      <c r="E3">
        <v>95</v>
      </c>
      <c r="F3">
        <v>97</v>
      </c>
      <c r="G3">
        <v>79</v>
      </c>
      <c r="H3">
        <v>500</v>
      </c>
      <c r="I3">
        <f>SUM(C3:G3)</f>
        <v>342</v>
      </c>
      <c r="J3">
        <f>MIN(C3:G3)</f>
        <v>35</v>
      </c>
      <c r="K3">
        <f>MAX(C3:G3)</f>
        <v>97</v>
      </c>
      <c r="L3">
        <f>AVERAGE(C3:G3)</f>
        <v>68.400000000000006</v>
      </c>
      <c r="M3" s="2">
        <f>_xlfn.PERCENTOF(I3,H3)</f>
        <v>0.68400000000000005</v>
      </c>
      <c r="N3" t="str">
        <f>IF(M3&gt;=90%,"A",IF(M3&gt;=80%,"B",IF(M3&gt;=70%,"C",IF(M3&gt;=60%,"D",IF(M3&gt;=50%,"E",IF(M3&lt;50,"F"))))))</f>
        <v>D</v>
      </c>
      <c r="O3" t="str">
        <f>IF(M3&gt;=35%,"PASS","FAIL")</f>
        <v>PASS</v>
      </c>
    </row>
    <row r="4" spans="1:15" x14ac:dyDescent="0.25">
      <c r="A4">
        <v>2</v>
      </c>
      <c r="B4" s="1" t="s">
        <v>16</v>
      </c>
      <c r="C4">
        <v>78</v>
      </c>
      <c r="D4">
        <v>78</v>
      </c>
      <c r="E4">
        <v>55</v>
      </c>
      <c r="F4">
        <v>68</v>
      </c>
      <c r="G4">
        <v>67</v>
      </c>
      <c r="H4">
        <v>500</v>
      </c>
      <c r="I4">
        <f t="shared" ref="I4:I25" si="0">SUM(C4:G4)</f>
        <v>346</v>
      </c>
      <c r="J4">
        <f t="shared" ref="J4:J25" si="1">MIN(C4:G4)</f>
        <v>55</v>
      </c>
      <c r="K4">
        <f t="shared" ref="K4:K25" si="2">MAX(C4:G4)</f>
        <v>78</v>
      </c>
      <c r="L4">
        <f t="shared" ref="L4:L25" si="3">AVERAGE(C4:G4)</f>
        <v>69.2</v>
      </c>
      <c r="M4" s="2">
        <f t="shared" ref="M4:M25" si="4">_xlfn.PERCENTOF(I4,H4)</f>
        <v>0.69199999999999995</v>
      </c>
      <c r="N4" t="str">
        <f t="shared" ref="N4:N25" si="5">IF(M4&gt;=90%,"A",IF(M4&gt;=80%,"B",IF(M4&gt;=70%,"C",IF(M4&gt;=60%,"D",IF(M4&gt;=50%,"E",IF(M4&lt;50,"F"))))))</f>
        <v>D</v>
      </c>
      <c r="O4" t="str">
        <f t="shared" ref="O4:O25" si="6">IF(M4&gt;=35%,"PASS","FAIL")</f>
        <v>PASS</v>
      </c>
    </row>
    <row r="5" spans="1:15" x14ac:dyDescent="0.25">
      <c r="A5">
        <v>3</v>
      </c>
      <c r="B5" s="1" t="s">
        <v>17</v>
      </c>
      <c r="C5">
        <v>57</v>
      </c>
      <c r="D5">
        <v>57</v>
      </c>
      <c r="E5">
        <v>59</v>
      </c>
      <c r="F5">
        <v>54</v>
      </c>
      <c r="G5">
        <v>57</v>
      </c>
      <c r="H5">
        <v>500</v>
      </c>
      <c r="I5">
        <f t="shared" si="0"/>
        <v>284</v>
      </c>
      <c r="J5">
        <f t="shared" si="1"/>
        <v>54</v>
      </c>
      <c r="K5">
        <f t="shared" si="2"/>
        <v>59</v>
      </c>
      <c r="L5">
        <f t="shared" si="3"/>
        <v>56.8</v>
      </c>
      <c r="M5" s="2">
        <f t="shared" si="4"/>
        <v>0.56799999999999995</v>
      </c>
      <c r="N5" t="str">
        <f t="shared" si="5"/>
        <v>E</v>
      </c>
      <c r="O5" t="str">
        <f t="shared" si="6"/>
        <v>PASS</v>
      </c>
    </row>
    <row r="6" spans="1:15" x14ac:dyDescent="0.25">
      <c r="A6">
        <v>4</v>
      </c>
      <c r="B6" s="1" t="s">
        <v>18</v>
      </c>
      <c r="C6">
        <v>47</v>
      </c>
      <c r="D6">
        <v>57</v>
      </c>
      <c r="E6">
        <v>49</v>
      </c>
      <c r="F6">
        <v>46</v>
      </c>
      <c r="G6">
        <v>46</v>
      </c>
      <c r="H6">
        <v>500</v>
      </c>
      <c r="I6">
        <f t="shared" si="0"/>
        <v>245</v>
      </c>
      <c r="J6">
        <f t="shared" si="1"/>
        <v>46</v>
      </c>
      <c r="K6">
        <f t="shared" si="2"/>
        <v>57</v>
      </c>
      <c r="L6">
        <f t="shared" si="3"/>
        <v>49</v>
      </c>
      <c r="M6" s="2">
        <f t="shared" si="4"/>
        <v>0.49</v>
      </c>
      <c r="N6" t="str">
        <f t="shared" si="5"/>
        <v>F</v>
      </c>
      <c r="O6" t="str">
        <f t="shared" si="6"/>
        <v>PASS</v>
      </c>
    </row>
    <row r="7" spans="1:15" x14ac:dyDescent="0.25">
      <c r="A7">
        <v>5</v>
      </c>
      <c r="B7" s="1" t="s">
        <v>19</v>
      </c>
      <c r="C7">
        <v>46</v>
      </c>
      <c r="D7">
        <v>86</v>
      </c>
      <c r="E7">
        <v>47</v>
      </c>
      <c r="F7">
        <v>44</v>
      </c>
      <c r="G7">
        <v>35</v>
      </c>
      <c r="H7">
        <v>500</v>
      </c>
      <c r="I7">
        <f t="shared" si="0"/>
        <v>258</v>
      </c>
      <c r="J7">
        <f t="shared" si="1"/>
        <v>35</v>
      </c>
      <c r="K7">
        <f t="shared" si="2"/>
        <v>86</v>
      </c>
      <c r="L7">
        <f t="shared" si="3"/>
        <v>51.6</v>
      </c>
      <c r="M7" s="2">
        <f t="shared" si="4"/>
        <v>0.51600000000000001</v>
      </c>
      <c r="N7" t="str">
        <f t="shared" si="5"/>
        <v>E</v>
      </c>
      <c r="O7" t="str">
        <f t="shared" si="6"/>
        <v>PASS</v>
      </c>
    </row>
    <row r="8" spans="1:15" x14ac:dyDescent="0.25">
      <c r="A8">
        <v>6</v>
      </c>
      <c r="B8" s="1" t="s">
        <v>20</v>
      </c>
      <c r="C8">
        <v>38</v>
      </c>
      <c r="D8">
        <v>25</v>
      </c>
      <c r="E8">
        <v>33</v>
      </c>
      <c r="F8">
        <v>45</v>
      </c>
      <c r="G8">
        <v>32</v>
      </c>
      <c r="H8">
        <v>500</v>
      </c>
      <c r="I8">
        <f t="shared" si="0"/>
        <v>173</v>
      </c>
      <c r="J8">
        <f t="shared" si="1"/>
        <v>25</v>
      </c>
      <c r="K8">
        <f t="shared" si="2"/>
        <v>45</v>
      </c>
      <c r="L8">
        <f t="shared" si="3"/>
        <v>34.6</v>
      </c>
      <c r="M8" s="2">
        <f t="shared" si="4"/>
        <v>0.34599999999999997</v>
      </c>
      <c r="N8" t="str">
        <f t="shared" si="5"/>
        <v>F</v>
      </c>
      <c r="O8" t="str">
        <f t="shared" si="6"/>
        <v>FAIL</v>
      </c>
    </row>
    <row r="9" spans="1:15" x14ac:dyDescent="0.25">
      <c r="A9">
        <v>7</v>
      </c>
      <c r="B9" s="1" t="s">
        <v>21</v>
      </c>
      <c r="C9">
        <v>37</v>
      </c>
      <c r="D9">
        <v>83</v>
      </c>
      <c r="E9">
        <v>64</v>
      </c>
      <c r="F9">
        <v>47</v>
      </c>
      <c r="G9">
        <v>28</v>
      </c>
      <c r="H9">
        <v>500</v>
      </c>
      <c r="I9">
        <f t="shared" si="0"/>
        <v>259</v>
      </c>
      <c r="J9">
        <f t="shared" si="1"/>
        <v>28</v>
      </c>
      <c r="K9">
        <f t="shared" si="2"/>
        <v>83</v>
      </c>
      <c r="L9">
        <f t="shared" si="3"/>
        <v>51.8</v>
      </c>
      <c r="M9" s="2">
        <f t="shared" si="4"/>
        <v>0.51800000000000002</v>
      </c>
      <c r="N9" t="str">
        <f t="shared" si="5"/>
        <v>E</v>
      </c>
      <c r="O9" t="str">
        <f t="shared" si="6"/>
        <v>PASS</v>
      </c>
    </row>
    <row r="10" spans="1:15" x14ac:dyDescent="0.25">
      <c r="A10">
        <v>8</v>
      </c>
      <c r="B10" s="1" t="s">
        <v>22</v>
      </c>
      <c r="C10">
        <v>37</v>
      </c>
      <c r="D10">
        <v>57</v>
      </c>
      <c r="E10">
        <v>33</v>
      </c>
      <c r="F10">
        <v>37</v>
      </c>
      <c r="G10">
        <v>27</v>
      </c>
      <c r="H10">
        <v>500</v>
      </c>
      <c r="I10">
        <f t="shared" si="0"/>
        <v>191</v>
      </c>
      <c r="J10">
        <f t="shared" si="1"/>
        <v>27</v>
      </c>
      <c r="K10">
        <f t="shared" si="2"/>
        <v>57</v>
      </c>
      <c r="L10">
        <f t="shared" si="3"/>
        <v>38.200000000000003</v>
      </c>
      <c r="M10" s="2">
        <f t="shared" si="4"/>
        <v>0.38200000000000001</v>
      </c>
      <c r="N10" t="str">
        <f t="shared" si="5"/>
        <v>F</v>
      </c>
      <c r="O10" t="str">
        <f t="shared" si="6"/>
        <v>PASS</v>
      </c>
    </row>
    <row r="11" spans="1:15" x14ac:dyDescent="0.25">
      <c r="A11">
        <v>9</v>
      </c>
      <c r="B11" s="1" t="s">
        <v>23</v>
      </c>
      <c r="C11">
        <v>74</v>
      </c>
      <c r="D11">
        <v>47</v>
      </c>
      <c r="E11">
        <v>64</v>
      </c>
      <c r="F11">
        <v>33</v>
      </c>
      <c r="G11">
        <v>38</v>
      </c>
      <c r="H11">
        <v>500</v>
      </c>
      <c r="I11">
        <f t="shared" si="0"/>
        <v>256</v>
      </c>
      <c r="J11">
        <f t="shared" si="1"/>
        <v>33</v>
      </c>
      <c r="K11">
        <f t="shared" si="2"/>
        <v>74</v>
      </c>
      <c r="L11">
        <f t="shared" si="3"/>
        <v>51.2</v>
      </c>
      <c r="M11" s="2">
        <f t="shared" si="4"/>
        <v>0.51200000000000001</v>
      </c>
      <c r="N11" t="str">
        <f t="shared" si="5"/>
        <v>E</v>
      </c>
      <c r="O11" t="str">
        <f t="shared" si="6"/>
        <v>PASS</v>
      </c>
    </row>
    <row r="12" spans="1:15" x14ac:dyDescent="0.25">
      <c r="A12">
        <v>10</v>
      </c>
      <c r="B12" s="1" t="s">
        <v>24</v>
      </c>
      <c r="C12">
        <v>8</v>
      </c>
      <c r="D12">
        <v>46</v>
      </c>
      <c r="E12">
        <v>75</v>
      </c>
      <c r="F12">
        <v>25</v>
      </c>
      <c r="G12">
        <v>28</v>
      </c>
      <c r="H12">
        <v>500</v>
      </c>
      <c r="I12">
        <f t="shared" si="0"/>
        <v>182</v>
      </c>
      <c r="J12">
        <f t="shared" si="1"/>
        <v>8</v>
      </c>
      <c r="K12">
        <f t="shared" si="2"/>
        <v>75</v>
      </c>
      <c r="L12">
        <f t="shared" si="3"/>
        <v>36.4</v>
      </c>
      <c r="M12" s="2">
        <f t="shared" si="4"/>
        <v>0.36399999999999999</v>
      </c>
      <c r="N12" t="str">
        <f t="shared" si="5"/>
        <v>F</v>
      </c>
      <c r="O12" t="str">
        <f t="shared" si="6"/>
        <v>PASS</v>
      </c>
    </row>
    <row r="13" spans="1:15" x14ac:dyDescent="0.25">
      <c r="A13">
        <v>11</v>
      </c>
      <c r="B13" s="1" t="s">
        <v>25</v>
      </c>
      <c r="C13">
        <v>3</v>
      </c>
      <c r="D13">
        <v>37</v>
      </c>
      <c r="E13">
        <v>96</v>
      </c>
      <c r="F13">
        <v>18</v>
      </c>
      <c r="G13">
        <v>29</v>
      </c>
      <c r="H13">
        <v>500</v>
      </c>
      <c r="I13">
        <f t="shared" si="0"/>
        <v>183</v>
      </c>
      <c r="J13">
        <f t="shared" si="1"/>
        <v>3</v>
      </c>
      <c r="K13">
        <f t="shared" si="2"/>
        <v>96</v>
      </c>
      <c r="L13">
        <f t="shared" si="3"/>
        <v>36.6</v>
      </c>
      <c r="M13" s="2">
        <f t="shared" si="4"/>
        <v>0.36599999999999999</v>
      </c>
      <c r="N13" t="str">
        <f t="shared" si="5"/>
        <v>F</v>
      </c>
      <c r="O13" t="str">
        <f t="shared" si="6"/>
        <v>PASS</v>
      </c>
    </row>
    <row r="14" spans="1:15" x14ac:dyDescent="0.25">
      <c r="A14">
        <v>12</v>
      </c>
      <c r="B14" s="1" t="s">
        <v>26</v>
      </c>
      <c r="C14">
        <v>73</v>
      </c>
      <c r="D14">
        <v>78</v>
      </c>
      <c r="E14">
        <v>43</v>
      </c>
      <c r="F14">
        <v>36</v>
      </c>
      <c r="G14">
        <v>96</v>
      </c>
      <c r="H14">
        <v>500</v>
      </c>
      <c r="I14">
        <f t="shared" si="0"/>
        <v>326</v>
      </c>
      <c r="J14">
        <f t="shared" si="1"/>
        <v>36</v>
      </c>
      <c r="K14">
        <f t="shared" si="2"/>
        <v>96</v>
      </c>
      <c r="L14">
        <f t="shared" si="3"/>
        <v>65.2</v>
      </c>
      <c r="M14" s="2">
        <f t="shared" si="4"/>
        <v>0.65200000000000002</v>
      </c>
      <c r="N14" t="str">
        <f t="shared" si="5"/>
        <v>D</v>
      </c>
      <c r="O14" t="str">
        <f t="shared" si="6"/>
        <v>PASS</v>
      </c>
    </row>
    <row r="15" spans="1:15" x14ac:dyDescent="0.25">
      <c r="A15">
        <v>13</v>
      </c>
      <c r="B15" s="1" t="s">
        <v>27</v>
      </c>
      <c r="C15">
        <v>74</v>
      </c>
      <c r="D15">
        <v>68</v>
      </c>
      <c r="E15">
        <v>62</v>
      </c>
      <c r="F15">
        <v>8</v>
      </c>
      <c r="G15">
        <v>97</v>
      </c>
      <c r="H15">
        <v>500</v>
      </c>
      <c r="I15">
        <f t="shared" si="0"/>
        <v>309</v>
      </c>
      <c r="J15">
        <f t="shared" si="1"/>
        <v>8</v>
      </c>
      <c r="K15">
        <f t="shared" si="2"/>
        <v>97</v>
      </c>
      <c r="L15">
        <f t="shared" si="3"/>
        <v>61.8</v>
      </c>
      <c r="M15" s="2">
        <f t="shared" si="4"/>
        <v>0.61799999999999999</v>
      </c>
      <c r="N15" t="str">
        <f t="shared" si="5"/>
        <v>D</v>
      </c>
      <c r="O15" t="str">
        <f t="shared" si="6"/>
        <v>PASS</v>
      </c>
    </row>
    <row r="16" spans="1:15" x14ac:dyDescent="0.25">
      <c r="A16">
        <v>14</v>
      </c>
      <c r="B16" s="1" t="s">
        <v>28</v>
      </c>
      <c r="C16">
        <v>66</v>
      </c>
      <c r="D16">
        <v>96</v>
      </c>
      <c r="E16">
        <v>52</v>
      </c>
      <c r="F16">
        <v>58</v>
      </c>
      <c r="G16">
        <v>94</v>
      </c>
      <c r="H16">
        <v>500</v>
      </c>
      <c r="I16">
        <f t="shared" si="0"/>
        <v>366</v>
      </c>
      <c r="J16">
        <f t="shared" si="1"/>
        <v>52</v>
      </c>
      <c r="K16">
        <f t="shared" si="2"/>
        <v>96</v>
      </c>
      <c r="L16">
        <f t="shared" si="3"/>
        <v>73.2</v>
      </c>
      <c r="M16" s="2">
        <f t="shared" si="4"/>
        <v>0.73199999999999998</v>
      </c>
      <c r="N16" t="str">
        <f t="shared" si="5"/>
        <v>C</v>
      </c>
      <c r="O16" t="str">
        <f t="shared" si="6"/>
        <v>PASS</v>
      </c>
    </row>
    <row r="17" spans="1:15" x14ac:dyDescent="0.25">
      <c r="A17">
        <v>15</v>
      </c>
      <c r="B17" s="1" t="s">
        <v>29</v>
      </c>
      <c r="C17">
        <v>74</v>
      </c>
      <c r="D17">
        <v>69</v>
      </c>
      <c r="E17">
        <v>41</v>
      </c>
      <c r="F17">
        <v>57</v>
      </c>
      <c r="G17">
        <v>84</v>
      </c>
      <c r="H17">
        <v>500</v>
      </c>
      <c r="I17">
        <f t="shared" si="0"/>
        <v>325</v>
      </c>
      <c r="J17">
        <f t="shared" si="1"/>
        <v>41</v>
      </c>
      <c r="K17">
        <f t="shared" si="2"/>
        <v>84</v>
      </c>
      <c r="L17">
        <f t="shared" si="3"/>
        <v>65</v>
      </c>
      <c r="M17" s="2">
        <f t="shared" si="4"/>
        <v>0.65</v>
      </c>
      <c r="N17" t="str">
        <f t="shared" si="5"/>
        <v>D</v>
      </c>
      <c r="O17" t="str">
        <f t="shared" si="6"/>
        <v>PASS</v>
      </c>
    </row>
    <row r="18" spans="1:15" x14ac:dyDescent="0.25">
      <c r="A18">
        <v>16</v>
      </c>
      <c r="B18" s="1" t="s">
        <v>30</v>
      </c>
      <c r="C18">
        <v>74</v>
      </c>
      <c r="D18">
        <v>67</v>
      </c>
      <c r="E18">
        <v>77</v>
      </c>
      <c r="F18">
        <v>68</v>
      </c>
      <c r="G18">
        <v>93</v>
      </c>
      <c r="H18">
        <v>500</v>
      </c>
      <c r="I18">
        <f t="shared" si="0"/>
        <v>379</v>
      </c>
      <c r="J18">
        <f t="shared" si="1"/>
        <v>67</v>
      </c>
      <c r="K18">
        <f t="shared" si="2"/>
        <v>93</v>
      </c>
      <c r="L18">
        <f t="shared" si="3"/>
        <v>75.8</v>
      </c>
      <c r="M18" s="2">
        <f t="shared" si="4"/>
        <v>0.75800000000000001</v>
      </c>
      <c r="N18" t="str">
        <f t="shared" si="5"/>
        <v>C</v>
      </c>
      <c r="O18" t="str">
        <f t="shared" si="6"/>
        <v>PASS</v>
      </c>
    </row>
    <row r="19" spans="1:15" x14ac:dyDescent="0.25">
      <c r="A19">
        <v>17</v>
      </c>
      <c r="B19" s="1" t="s">
        <v>31</v>
      </c>
      <c r="C19">
        <v>36</v>
      </c>
      <c r="D19">
        <v>89</v>
      </c>
      <c r="E19">
        <v>86</v>
      </c>
      <c r="F19">
        <v>97</v>
      </c>
      <c r="G19">
        <v>84</v>
      </c>
      <c r="H19">
        <v>500</v>
      </c>
      <c r="I19">
        <f t="shared" si="0"/>
        <v>392</v>
      </c>
      <c r="J19">
        <f t="shared" si="1"/>
        <v>36</v>
      </c>
      <c r="K19">
        <f t="shared" si="2"/>
        <v>97</v>
      </c>
      <c r="L19">
        <f t="shared" si="3"/>
        <v>78.400000000000006</v>
      </c>
      <c r="M19" s="2">
        <f t="shared" si="4"/>
        <v>0.78400000000000003</v>
      </c>
      <c r="N19" t="str">
        <f t="shared" si="5"/>
        <v>C</v>
      </c>
      <c r="O19" t="str">
        <f t="shared" si="6"/>
        <v>PASS</v>
      </c>
    </row>
    <row r="20" spans="1:15" x14ac:dyDescent="0.25">
      <c r="A20">
        <v>18</v>
      </c>
      <c r="B20" s="1" t="s">
        <v>32</v>
      </c>
      <c r="C20">
        <v>83</v>
      </c>
      <c r="D20">
        <v>9</v>
      </c>
      <c r="E20">
        <v>89</v>
      </c>
      <c r="F20">
        <v>97</v>
      </c>
      <c r="G20">
        <v>83</v>
      </c>
      <c r="H20">
        <v>500</v>
      </c>
      <c r="I20">
        <f t="shared" si="0"/>
        <v>361</v>
      </c>
      <c r="J20">
        <f t="shared" si="1"/>
        <v>9</v>
      </c>
      <c r="K20">
        <f t="shared" si="2"/>
        <v>97</v>
      </c>
      <c r="L20">
        <f t="shared" si="3"/>
        <v>72.2</v>
      </c>
      <c r="M20" s="2">
        <f t="shared" si="4"/>
        <v>0.72199999999999998</v>
      </c>
      <c r="N20" t="str">
        <f t="shared" si="5"/>
        <v>C</v>
      </c>
      <c r="O20" t="str">
        <f t="shared" si="6"/>
        <v>PASS</v>
      </c>
    </row>
    <row r="21" spans="1:15" x14ac:dyDescent="0.25">
      <c r="A21">
        <v>19</v>
      </c>
      <c r="B21" s="1" t="s">
        <v>33</v>
      </c>
      <c r="C21">
        <v>84</v>
      </c>
      <c r="D21">
        <v>77</v>
      </c>
      <c r="E21">
        <v>78</v>
      </c>
      <c r="F21">
        <v>78</v>
      </c>
      <c r="G21">
        <v>73</v>
      </c>
      <c r="H21">
        <v>500</v>
      </c>
      <c r="I21">
        <f t="shared" si="0"/>
        <v>390</v>
      </c>
      <c r="J21">
        <f t="shared" si="1"/>
        <v>73</v>
      </c>
      <c r="K21">
        <f t="shared" si="2"/>
        <v>84</v>
      </c>
      <c r="L21">
        <f t="shared" si="3"/>
        <v>78</v>
      </c>
      <c r="M21" s="2">
        <f t="shared" si="4"/>
        <v>0.78</v>
      </c>
      <c r="N21" t="str">
        <f t="shared" si="5"/>
        <v>C</v>
      </c>
      <c r="O21" t="str">
        <f t="shared" si="6"/>
        <v>PASS</v>
      </c>
    </row>
    <row r="22" spans="1:15" x14ac:dyDescent="0.25">
      <c r="A22">
        <v>20</v>
      </c>
      <c r="B22" s="1" t="s">
        <v>34</v>
      </c>
      <c r="C22">
        <v>56</v>
      </c>
      <c r="D22">
        <v>97</v>
      </c>
      <c r="E22">
        <v>89</v>
      </c>
      <c r="F22">
        <v>76</v>
      </c>
      <c r="G22">
        <v>93</v>
      </c>
      <c r="H22">
        <v>500</v>
      </c>
      <c r="I22">
        <f t="shared" si="0"/>
        <v>411</v>
      </c>
      <c r="J22">
        <f t="shared" si="1"/>
        <v>56</v>
      </c>
      <c r="K22">
        <f t="shared" si="2"/>
        <v>97</v>
      </c>
      <c r="L22">
        <f t="shared" si="3"/>
        <v>82.2</v>
      </c>
      <c r="M22" s="2">
        <f t="shared" si="4"/>
        <v>0.82199999999999995</v>
      </c>
      <c r="N22" t="str">
        <f t="shared" si="5"/>
        <v>B</v>
      </c>
      <c r="O22" t="str">
        <f t="shared" si="6"/>
        <v>PASS</v>
      </c>
    </row>
    <row r="23" spans="1:15" x14ac:dyDescent="0.25">
      <c r="A23">
        <v>21</v>
      </c>
      <c r="B23" s="1" t="s">
        <v>35</v>
      </c>
      <c r="C23">
        <v>37</v>
      </c>
      <c r="D23">
        <v>97</v>
      </c>
      <c r="E23">
        <v>77</v>
      </c>
      <c r="F23">
        <v>97</v>
      </c>
      <c r="G23">
        <v>95</v>
      </c>
      <c r="H23">
        <v>500</v>
      </c>
      <c r="I23">
        <f t="shared" si="0"/>
        <v>403</v>
      </c>
      <c r="J23">
        <f t="shared" si="1"/>
        <v>37</v>
      </c>
      <c r="K23">
        <f t="shared" si="2"/>
        <v>97</v>
      </c>
      <c r="L23">
        <f t="shared" si="3"/>
        <v>80.599999999999994</v>
      </c>
      <c r="M23" s="2">
        <f t="shared" si="4"/>
        <v>0.80600000000000005</v>
      </c>
      <c r="N23" t="str">
        <f t="shared" si="5"/>
        <v>B</v>
      </c>
      <c r="O23" t="str">
        <f t="shared" si="6"/>
        <v>PASS</v>
      </c>
    </row>
    <row r="24" spans="1:15" x14ac:dyDescent="0.25">
      <c r="A24">
        <v>22</v>
      </c>
      <c r="B24" s="1" t="s">
        <v>36</v>
      </c>
      <c r="C24">
        <v>48</v>
      </c>
      <c r="D24">
        <v>99</v>
      </c>
      <c r="E24">
        <v>54</v>
      </c>
      <c r="F24">
        <v>95</v>
      </c>
      <c r="G24">
        <v>99</v>
      </c>
      <c r="H24">
        <v>500</v>
      </c>
      <c r="I24">
        <f t="shared" si="0"/>
        <v>395</v>
      </c>
      <c r="J24">
        <f t="shared" si="1"/>
        <v>48</v>
      </c>
      <c r="K24">
        <f t="shared" si="2"/>
        <v>99</v>
      </c>
      <c r="L24">
        <f t="shared" si="3"/>
        <v>79</v>
      </c>
      <c r="M24" s="2">
        <f t="shared" si="4"/>
        <v>0.79</v>
      </c>
      <c r="N24" t="str">
        <f t="shared" si="5"/>
        <v>C</v>
      </c>
      <c r="O24" t="str">
        <f t="shared" si="6"/>
        <v>PASS</v>
      </c>
    </row>
    <row r="25" spans="1:15" x14ac:dyDescent="0.25">
      <c r="A25">
        <v>23</v>
      </c>
      <c r="B25" s="1" t="s">
        <v>37</v>
      </c>
      <c r="C25">
        <v>58</v>
      </c>
      <c r="D25">
        <v>57</v>
      </c>
      <c r="E25">
        <v>76</v>
      </c>
      <c r="F25">
        <v>93</v>
      </c>
      <c r="G25">
        <v>77</v>
      </c>
      <c r="H25">
        <v>500</v>
      </c>
      <c r="I25">
        <f t="shared" si="0"/>
        <v>361</v>
      </c>
      <c r="J25">
        <f t="shared" si="1"/>
        <v>57</v>
      </c>
      <c r="K25">
        <f t="shared" si="2"/>
        <v>93</v>
      </c>
      <c r="L25">
        <f t="shared" si="3"/>
        <v>72.2</v>
      </c>
      <c r="M25" s="2">
        <f t="shared" si="4"/>
        <v>0.72199999999999998</v>
      </c>
      <c r="N25" t="str">
        <f t="shared" si="5"/>
        <v>C</v>
      </c>
      <c r="O25" t="str">
        <f t="shared" si="6"/>
        <v>PASS</v>
      </c>
    </row>
  </sheetData>
  <mergeCells count="1">
    <mergeCell ref="A1:O1"/>
  </mergeCells>
  <dataValidations count="1">
    <dataValidation type="whole" allowBlank="1" showInputMessage="1" showErrorMessage="1" sqref="C3:G25" xr:uid="{5366970D-F3D6-634F-8C88-F5B88F018476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2DE6-10C3-C648-A84C-4D5643A15BDF}">
  <dimension ref="A3:B27"/>
  <sheetViews>
    <sheetView workbookViewId="0">
      <selection activeCell="B1" sqref="B1:B1048576"/>
    </sheetView>
  </sheetViews>
  <sheetFormatPr baseColWidth="10" defaultRowHeight="21" x14ac:dyDescent="0.25"/>
  <cols>
    <col min="1" max="1" width="12.25" bestFit="1" customWidth="1"/>
    <col min="2" max="2" width="17.125" style="5" bestFit="1" customWidth="1"/>
    <col min="3" max="3" width="14.875" bestFit="1" customWidth="1"/>
    <col min="4" max="23" width="15" bestFit="1" customWidth="1"/>
    <col min="24" max="24" width="11" bestFit="1" customWidth="1"/>
  </cols>
  <sheetData>
    <row r="3" spans="1:2" x14ac:dyDescent="0.25">
      <c r="A3" s="3" t="s">
        <v>39</v>
      </c>
      <c r="B3" s="5" t="s">
        <v>41</v>
      </c>
    </row>
    <row r="4" spans="1:2" x14ac:dyDescent="0.25">
      <c r="A4" s="4">
        <v>1</v>
      </c>
      <c r="B4" s="5">
        <v>0.68400000000000005</v>
      </c>
    </row>
    <row r="5" spans="1:2" x14ac:dyDescent="0.25">
      <c r="A5" s="4">
        <v>2</v>
      </c>
      <c r="B5" s="5">
        <v>0.69199999999999995</v>
      </c>
    </row>
    <row r="6" spans="1:2" x14ac:dyDescent="0.25">
      <c r="A6" s="4">
        <v>3</v>
      </c>
      <c r="B6" s="5">
        <v>0.56799999999999995</v>
      </c>
    </row>
    <row r="7" spans="1:2" x14ac:dyDescent="0.25">
      <c r="A7" s="4">
        <v>4</v>
      </c>
      <c r="B7" s="5">
        <v>0.49</v>
      </c>
    </row>
    <row r="8" spans="1:2" x14ac:dyDescent="0.25">
      <c r="A8" s="4">
        <v>5</v>
      </c>
      <c r="B8" s="5">
        <v>0.51600000000000001</v>
      </c>
    </row>
    <row r="9" spans="1:2" x14ac:dyDescent="0.25">
      <c r="A9" s="4">
        <v>6</v>
      </c>
      <c r="B9" s="5">
        <v>0.34599999999999997</v>
      </c>
    </row>
    <row r="10" spans="1:2" x14ac:dyDescent="0.25">
      <c r="A10" s="4">
        <v>7</v>
      </c>
      <c r="B10" s="5">
        <v>0.51800000000000002</v>
      </c>
    </row>
    <row r="11" spans="1:2" x14ac:dyDescent="0.25">
      <c r="A11" s="4">
        <v>8</v>
      </c>
      <c r="B11" s="5">
        <v>0.38200000000000001</v>
      </c>
    </row>
    <row r="12" spans="1:2" x14ac:dyDescent="0.25">
      <c r="A12" s="4">
        <v>9</v>
      </c>
      <c r="B12" s="5">
        <v>0.51200000000000001</v>
      </c>
    </row>
    <row r="13" spans="1:2" x14ac:dyDescent="0.25">
      <c r="A13" s="4">
        <v>10</v>
      </c>
      <c r="B13" s="5">
        <v>0.36399999999999999</v>
      </c>
    </row>
    <row r="14" spans="1:2" x14ac:dyDescent="0.25">
      <c r="A14" s="4">
        <v>11</v>
      </c>
      <c r="B14" s="5">
        <v>0.36599999999999999</v>
      </c>
    </row>
    <row r="15" spans="1:2" x14ac:dyDescent="0.25">
      <c r="A15" s="4">
        <v>12</v>
      </c>
      <c r="B15" s="5">
        <v>0.65200000000000002</v>
      </c>
    </row>
    <row r="16" spans="1:2" x14ac:dyDescent="0.25">
      <c r="A16" s="4">
        <v>13</v>
      </c>
      <c r="B16" s="5">
        <v>0.61799999999999999</v>
      </c>
    </row>
    <row r="17" spans="1:2" x14ac:dyDescent="0.25">
      <c r="A17" s="4">
        <v>14</v>
      </c>
      <c r="B17" s="5">
        <v>0.73199999999999998</v>
      </c>
    </row>
    <row r="18" spans="1:2" x14ac:dyDescent="0.25">
      <c r="A18" s="4">
        <v>15</v>
      </c>
      <c r="B18" s="5">
        <v>0.65</v>
      </c>
    </row>
    <row r="19" spans="1:2" x14ac:dyDescent="0.25">
      <c r="A19" s="4">
        <v>16</v>
      </c>
      <c r="B19" s="5">
        <v>0.75800000000000001</v>
      </c>
    </row>
    <row r="20" spans="1:2" x14ac:dyDescent="0.25">
      <c r="A20" s="4">
        <v>17</v>
      </c>
      <c r="B20" s="5">
        <v>0.78400000000000003</v>
      </c>
    </row>
    <row r="21" spans="1:2" x14ac:dyDescent="0.25">
      <c r="A21" s="4">
        <v>18</v>
      </c>
      <c r="B21" s="5">
        <v>0.72199999999999998</v>
      </c>
    </row>
    <row r="22" spans="1:2" x14ac:dyDescent="0.25">
      <c r="A22" s="4">
        <v>19</v>
      </c>
      <c r="B22" s="5">
        <v>0.78</v>
      </c>
    </row>
    <row r="23" spans="1:2" x14ac:dyDescent="0.25">
      <c r="A23" s="4">
        <v>20</v>
      </c>
      <c r="B23" s="5">
        <v>0.82199999999999995</v>
      </c>
    </row>
    <row r="24" spans="1:2" x14ac:dyDescent="0.25">
      <c r="A24" s="4">
        <v>21</v>
      </c>
      <c r="B24" s="5">
        <v>0.80600000000000005</v>
      </c>
    </row>
    <row r="25" spans="1:2" x14ac:dyDescent="0.25">
      <c r="A25" s="4">
        <v>22</v>
      </c>
      <c r="B25" s="5">
        <v>0.79</v>
      </c>
    </row>
    <row r="26" spans="1:2" x14ac:dyDescent="0.25">
      <c r="A26" s="4">
        <v>23</v>
      </c>
      <c r="B26" s="5">
        <v>0.72199999999999998</v>
      </c>
    </row>
    <row r="27" spans="1:2" x14ac:dyDescent="0.25">
      <c r="A27" s="4" t="s">
        <v>38</v>
      </c>
      <c r="B27" s="5">
        <v>14.273999999999996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67B5-33B8-7E4F-8971-F1AC15C70707}">
  <dimension ref="A1:N26"/>
  <sheetViews>
    <sheetView tabSelected="1" topLeftCell="A3" zoomScaleNormal="100" workbookViewId="0">
      <selection activeCell="E8" sqref="E8"/>
    </sheetView>
  </sheetViews>
  <sheetFormatPr baseColWidth="10" defaultRowHeight="21" outlineLevelRow="1" x14ac:dyDescent="0.25"/>
  <cols>
    <col min="4" max="4" width="28.25" style="16" bestFit="1" customWidth="1"/>
    <col min="5" max="5" width="11.375" bestFit="1" customWidth="1"/>
    <col min="8" max="8" width="9.5" customWidth="1"/>
    <col min="9" max="9" width="13" style="22" bestFit="1" customWidth="1"/>
    <col min="10" max="10" width="11.5" customWidth="1"/>
    <col min="12" max="12" width="13.875" customWidth="1"/>
    <col min="13" max="13" width="17.875" bestFit="1" customWidth="1"/>
    <col min="14" max="14" width="16.375" bestFit="1" customWidth="1"/>
    <col min="15" max="15" width="18.75" bestFit="1" customWidth="1"/>
  </cols>
  <sheetData>
    <row r="1" spans="1:14" ht="44" x14ac:dyDescent="0.25">
      <c r="A1" s="10"/>
      <c r="B1" s="10"/>
      <c r="C1" s="10"/>
      <c r="D1" s="10"/>
      <c r="E1" s="11" t="s">
        <v>54</v>
      </c>
      <c r="F1" s="12"/>
      <c r="G1" s="12"/>
      <c r="H1" s="12"/>
      <c r="I1" s="28" t="s">
        <v>52</v>
      </c>
      <c r="J1" s="15"/>
      <c r="K1" s="20"/>
      <c r="L1" s="20"/>
      <c r="M1" s="20"/>
      <c r="N1" s="21"/>
    </row>
    <row r="2" spans="1:14" ht="44" hidden="1" customHeight="1" outlineLevel="1" x14ac:dyDescent="0.25">
      <c r="A2" s="9"/>
      <c r="E2" s="13" t="s">
        <v>53</v>
      </c>
      <c r="F2" s="14">
        <v>0.05</v>
      </c>
      <c r="G2" s="14">
        <v>0.4</v>
      </c>
      <c r="H2" s="14">
        <v>0.12</v>
      </c>
      <c r="I2" s="23"/>
    </row>
    <row r="3" spans="1:14" collapsed="1" x14ac:dyDescent="0.25">
      <c r="A3" s="18" t="s">
        <v>0</v>
      </c>
      <c r="B3" s="18" t="s">
        <v>42</v>
      </c>
      <c r="C3" s="18" t="s">
        <v>43</v>
      </c>
      <c r="D3" s="19" t="s">
        <v>44</v>
      </c>
      <c r="E3" s="18" t="s">
        <v>45</v>
      </c>
      <c r="F3" s="18" t="s">
        <v>46</v>
      </c>
      <c r="G3" s="18" t="s">
        <v>47</v>
      </c>
      <c r="H3" s="18" t="s">
        <v>48</v>
      </c>
      <c r="I3" s="24" t="s">
        <v>51</v>
      </c>
      <c r="J3" s="18" t="s">
        <v>49</v>
      </c>
      <c r="K3" s="18" t="s">
        <v>50</v>
      </c>
      <c r="L3" s="18" t="s">
        <v>55</v>
      </c>
      <c r="M3" s="18" t="s">
        <v>56</v>
      </c>
    </row>
    <row r="4" spans="1:14" x14ac:dyDescent="0.25">
      <c r="A4" s="1" t="s">
        <v>15</v>
      </c>
      <c r="B4">
        <v>25</v>
      </c>
      <c r="C4" t="s">
        <v>80</v>
      </c>
      <c r="D4" s="1" t="s">
        <v>57</v>
      </c>
      <c r="E4" s="17">
        <v>15000</v>
      </c>
      <c r="F4" s="17">
        <f>5%*I4</f>
        <v>25000</v>
      </c>
      <c r="G4" s="17">
        <f>40%*I4</f>
        <v>200000</v>
      </c>
      <c r="H4" s="17">
        <f>12%*I4</f>
        <v>60000</v>
      </c>
      <c r="I4" s="25">
        <v>500000</v>
      </c>
      <c r="J4" s="17">
        <f>SUM(E4:G4)</f>
        <v>240000</v>
      </c>
      <c r="K4" s="17">
        <f>J4-H4</f>
        <v>180000</v>
      </c>
      <c r="L4" s="17">
        <v>0</v>
      </c>
      <c r="M4" s="17">
        <f>K4-L4</f>
        <v>180000</v>
      </c>
    </row>
    <row r="5" spans="1:14" x14ac:dyDescent="0.25">
      <c r="A5" s="1" t="s">
        <v>16</v>
      </c>
      <c r="B5">
        <v>46</v>
      </c>
      <c r="C5" t="s">
        <v>80</v>
      </c>
      <c r="D5" s="1" t="s">
        <v>58</v>
      </c>
      <c r="E5" s="17">
        <v>15000</v>
      </c>
      <c r="F5" s="17">
        <f>5%*I5</f>
        <v>17500</v>
      </c>
      <c r="G5" s="17">
        <f>40%*I5</f>
        <v>140000</v>
      </c>
      <c r="H5" s="17">
        <f>12%*I5</f>
        <v>42000</v>
      </c>
      <c r="I5" s="26">
        <v>350000</v>
      </c>
      <c r="J5" s="17">
        <f>SUM(E5:G5)</f>
        <v>172500</v>
      </c>
      <c r="K5" s="17">
        <f>J5-H5</f>
        <v>130500</v>
      </c>
      <c r="L5" s="17">
        <v>0</v>
      </c>
      <c r="M5" s="17">
        <f t="shared" ref="M5:M26" si="0">K5-L5</f>
        <v>130500</v>
      </c>
    </row>
    <row r="6" spans="1:14" x14ac:dyDescent="0.25">
      <c r="A6" s="1" t="s">
        <v>17</v>
      </c>
      <c r="B6">
        <v>24</v>
      </c>
      <c r="C6" t="s">
        <v>80</v>
      </c>
      <c r="D6" s="1" t="s">
        <v>59</v>
      </c>
      <c r="E6" s="17">
        <v>5000</v>
      </c>
      <c r="F6" s="17">
        <f>5%*I6</f>
        <v>10000</v>
      </c>
      <c r="G6" s="17">
        <f>40%*I6</f>
        <v>80000</v>
      </c>
      <c r="H6" s="17">
        <f>12%*I6</f>
        <v>24000</v>
      </c>
      <c r="I6" s="26">
        <v>200000</v>
      </c>
      <c r="J6" s="17">
        <f>SUM(E6:G6)</f>
        <v>95000</v>
      </c>
      <c r="K6" s="17">
        <f>J6-H6</f>
        <v>71000</v>
      </c>
      <c r="L6" s="17">
        <v>25000</v>
      </c>
      <c r="M6" s="17">
        <f t="shared" si="0"/>
        <v>46000</v>
      </c>
    </row>
    <row r="7" spans="1:14" x14ac:dyDescent="0.25">
      <c r="A7" s="1" t="s">
        <v>18</v>
      </c>
      <c r="B7">
        <v>43</v>
      </c>
      <c r="C7" t="s">
        <v>80</v>
      </c>
      <c r="D7" s="1" t="s">
        <v>60</v>
      </c>
      <c r="E7" s="17">
        <v>15000</v>
      </c>
      <c r="F7" s="17">
        <f>5%*I7</f>
        <v>15000</v>
      </c>
      <c r="G7" s="17">
        <f>40%*I7</f>
        <v>120000</v>
      </c>
      <c r="H7" s="17">
        <f>12%*I7</f>
        <v>36000</v>
      </c>
      <c r="I7" s="26">
        <v>300000</v>
      </c>
      <c r="J7" s="17">
        <f>SUM(E7:G7)</f>
        <v>150000</v>
      </c>
      <c r="K7" s="17">
        <f>J7-H7</f>
        <v>114000</v>
      </c>
      <c r="L7" s="17">
        <v>42000</v>
      </c>
      <c r="M7" s="17">
        <f t="shared" si="0"/>
        <v>72000</v>
      </c>
    </row>
    <row r="8" spans="1:14" x14ac:dyDescent="0.25">
      <c r="A8" s="1" t="s">
        <v>19</v>
      </c>
      <c r="B8">
        <v>34</v>
      </c>
      <c r="C8" t="s">
        <v>80</v>
      </c>
      <c r="D8" s="1" t="s">
        <v>61</v>
      </c>
      <c r="E8" s="17">
        <v>15000</v>
      </c>
      <c r="F8" s="17">
        <f>5%*I8</f>
        <v>12500</v>
      </c>
      <c r="G8" s="17">
        <f>40%*I8</f>
        <v>100000</v>
      </c>
      <c r="H8" s="17">
        <f>12%*I8</f>
        <v>30000</v>
      </c>
      <c r="I8" s="26">
        <v>250000</v>
      </c>
      <c r="J8" s="17">
        <f>SUM(E8:G8)</f>
        <v>127500</v>
      </c>
      <c r="K8" s="17">
        <f>J8-H8</f>
        <v>97500</v>
      </c>
      <c r="L8" s="17">
        <v>86000</v>
      </c>
      <c r="M8" s="17">
        <f t="shared" si="0"/>
        <v>11500</v>
      </c>
    </row>
    <row r="9" spans="1:14" x14ac:dyDescent="0.25">
      <c r="A9" s="1" t="s">
        <v>20</v>
      </c>
      <c r="B9">
        <v>23</v>
      </c>
      <c r="C9" t="s">
        <v>80</v>
      </c>
      <c r="D9" s="1" t="s">
        <v>62</v>
      </c>
      <c r="E9" s="17">
        <v>5000</v>
      </c>
      <c r="F9" s="17">
        <f>5%*I9</f>
        <v>3000</v>
      </c>
      <c r="G9" s="17">
        <f>40%*I9</f>
        <v>24000</v>
      </c>
      <c r="H9" s="17">
        <f>12%*I9</f>
        <v>7200</v>
      </c>
      <c r="I9" s="26">
        <v>60000</v>
      </c>
      <c r="J9" s="17">
        <f>SUM(E9:G9)</f>
        <v>32000</v>
      </c>
      <c r="K9" s="17">
        <f>J9-H9</f>
        <v>24800</v>
      </c>
      <c r="L9" s="17">
        <v>2000</v>
      </c>
      <c r="M9" s="17">
        <f t="shared" si="0"/>
        <v>22800</v>
      </c>
    </row>
    <row r="10" spans="1:14" x14ac:dyDescent="0.25">
      <c r="A10" s="1" t="s">
        <v>21</v>
      </c>
      <c r="B10">
        <v>19</v>
      </c>
      <c r="C10" t="s">
        <v>80</v>
      </c>
      <c r="D10" s="1" t="s">
        <v>63</v>
      </c>
      <c r="E10" s="17">
        <v>2000</v>
      </c>
      <c r="F10" s="17">
        <f>5%*I10</f>
        <v>2500</v>
      </c>
      <c r="G10" s="17">
        <f>40%*I10</f>
        <v>20000</v>
      </c>
      <c r="H10" s="17">
        <f>12%*I10</f>
        <v>6000</v>
      </c>
      <c r="I10" s="27">
        <v>50000</v>
      </c>
      <c r="J10" s="17">
        <f>SUM(E10:G10)</f>
        <v>24500</v>
      </c>
      <c r="K10" s="17">
        <f>J10-H10</f>
        <v>18500</v>
      </c>
      <c r="L10" s="17">
        <v>5000</v>
      </c>
      <c r="M10" s="17">
        <f t="shared" si="0"/>
        <v>13500</v>
      </c>
    </row>
    <row r="11" spans="1:14" x14ac:dyDescent="0.25">
      <c r="A11" s="1" t="s">
        <v>22</v>
      </c>
      <c r="B11">
        <v>49</v>
      </c>
      <c r="C11" t="s">
        <v>80</v>
      </c>
      <c r="D11" s="1" t="s">
        <v>64</v>
      </c>
      <c r="E11" s="17">
        <v>2000</v>
      </c>
      <c r="F11" s="17">
        <f>5%*I11</f>
        <v>2250</v>
      </c>
      <c r="G11" s="17">
        <f>40%*I11</f>
        <v>18000</v>
      </c>
      <c r="H11" s="17">
        <f>12%*I11</f>
        <v>5400</v>
      </c>
      <c r="I11" s="26">
        <v>45000</v>
      </c>
      <c r="J11" s="17">
        <f>SUM(E11:G11)</f>
        <v>22250</v>
      </c>
      <c r="K11" s="17">
        <f>J11-H11</f>
        <v>16850</v>
      </c>
      <c r="L11" s="17">
        <v>0</v>
      </c>
      <c r="M11" s="17">
        <f t="shared" si="0"/>
        <v>16850</v>
      </c>
    </row>
    <row r="12" spans="1:14" x14ac:dyDescent="0.25">
      <c r="A12" s="1" t="s">
        <v>23</v>
      </c>
      <c r="B12">
        <v>49</v>
      </c>
      <c r="C12" t="s">
        <v>80</v>
      </c>
      <c r="D12" s="1" t="s">
        <v>65</v>
      </c>
      <c r="E12" s="17">
        <v>1000</v>
      </c>
      <c r="F12" s="17">
        <f>5%*I12</f>
        <v>1850</v>
      </c>
      <c r="G12" s="17">
        <f>40%*I12</f>
        <v>14800</v>
      </c>
      <c r="H12" s="17">
        <f>12%*I12</f>
        <v>4440</v>
      </c>
      <c r="I12" s="26">
        <v>37000</v>
      </c>
      <c r="J12" s="17">
        <f>SUM(E12:G12)</f>
        <v>17650</v>
      </c>
      <c r="K12" s="17">
        <f>J12-H12</f>
        <v>13210</v>
      </c>
      <c r="L12" s="17">
        <v>1000</v>
      </c>
      <c r="M12" s="17">
        <f t="shared" si="0"/>
        <v>12210</v>
      </c>
    </row>
    <row r="13" spans="1:14" x14ac:dyDescent="0.25">
      <c r="A13" s="1" t="s">
        <v>24</v>
      </c>
      <c r="B13">
        <v>56</v>
      </c>
      <c r="C13" t="s">
        <v>80</v>
      </c>
      <c r="D13" s="1" t="s">
        <v>66</v>
      </c>
      <c r="E13" s="17">
        <v>5000</v>
      </c>
      <c r="F13" s="17">
        <f>5%*I13</f>
        <v>3750</v>
      </c>
      <c r="G13" s="17">
        <f>40%*I13</f>
        <v>30000</v>
      </c>
      <c r="H13" s="17">
        <f>12%*I13</f>
        <v>9000</v>
      </c>
      <c r="I13" s="26">
        <v>75000</v>
      </c>
      <c r="J13" s="17">
        <f>SUM(E13:G13)</f>
        <v>38750</v>
      </c>
      <c r="K13" s="17">
        <f>J13-H13</f>
        <v>29750</v>
      </c>
      <c r="L13" s="17">
        <v>0</v>
      </c>
      <c r="M13" s="17">
        <f t="shared" si="0"/>
        <v>29750</v>
      </c>
    </row>
    <row r="14" spans="1:14" x14ac:dyDescent="0.25">
      <c r="A14" s="1" t="s">
        <v>25</v>
      </c>
      <c r="B14">
        <v>33</v>
      </c>
      <c r="C14" t="s">
        <v>80</v>
      </c>
      <c r="D14" s="1" t="s">
        <v>67</v>
      </c>
      <c r="E14" s="17">
        <v>10000</v>
      </c>
      <c r="F14" s="17">
        <f>5%*I14</f>
        <v>5000</v>
      </c>
      <c r="G14" s="17">
        <f>40%*I14</f>
        <v>40000</v>
      </c>
      <c r="H14" s="17">
        <f>12%*I14</f>
        <v>12000</v>
      </c>
      <c r="I14" s="26">
        <v>100000</v>
      </c>
      <c r="J14" s="17">
        <f>SUM(E14:G14)</f>
        <v>55000</v>
      </c>
      <c r="K14" s="17">
        <f>J14-H14</f>
        <v>43000</v>
      </c>
      <c r="L14" s="17">
        <v>0</v>
      </c>
      <c r="M14" s="17">
        <f t="shared" si="0"/>
        <v>43000</v>
      </c>
    </row>
    <row r="15" spans="1:14" x14ac:dyDescent="0.25">
      <c r="A15" s="1" t="s">
        <v>26</v>
      </c>
      <c r="B15">
        <v>23</v>
      </c>
      <c r="C15" t="s">
        <v>80</v>
      </c>
      <c r="D15" s="1" t="s">
        <v>68</v>
      </c>
      <c r="E15" s="17">
        <v>5000</v>
      </c>
      <c r="F15" s="17">
        <f>5%*I15</f>
        <v>3000</v>
      </c>
      <c r="G15" s="17">
        <f>40%*I15</f>
        <v>24000</v>
      </c>
      <c r="H15" s="17">
        <f>12%*I15</f>
        <v>7200</v>
      </c>
      <c r="I15" s="26">
        <v>60000</v>
      </c>
      <c r="J15" s="17">
        <f>SUM(E15:G15)</f>
        <v>32000</v>
      </c>
      <c r="K15" s="17">
        <f>J15-H15</f>
        <v>24800</v>
      </c>
      <c r="L15" s="17">
        <v>0</v>
      </c>
      <c r="M15" s="17">
        <f t="shared" si="0"/>
        <v>24800</v>
      </c>
    </row>
    <row r="16" spans="1:14" x14ac:dyDescent="0.25">
      <c r="A16" s="1" t="s">
        <v>27</v>
      </c>
      <c r="B16">
        <v>24</v>
      </c>
      <c r="C16" t="s">
        <v>80</v>
      </c>
      <c r="D16" s="1" t="s">
        <v>69</v>
      </c>
      <c r="E16" s="17">
        <v>10000</v>
      </c>
      <c r="F16" s="17">
        <f>5%*I16</f>
        <v>5500</v>
      </c>
      <c r="G16" s="17">
        <f>40%*I16</f>
        <v>44000</v>
      </c>
      <c r="H16" s="17">
        <f>12%*I16</f>
        <v>13200</v>
      </c>
      <c r="I16" s="26">
        <v>110000</v>
      </c>
      <c r="J16" s="17">
        <f>SUM(E16:G16)</f>
        <v>59500</v>
      </c>
      <c r="K16" s="17">
        <f>J16-H16</f>
        <v>46300</v>
      </c>
      <c r="L16" s="17">
        <v>0</v>
      </c>
      <c r="M16" s="17">
        <f t="shared" si="0"/>
        <v>46300</v>
      </c>
    </row>
    <row r="17" spans="1:13" x14ac:dyDescent="0.25">
      <c r="A17" s="1" t="s">
        <v>28</v>
      </c>
      <c r="B17">
        <v>25</v>
      </c>
      <c r="C17" t="s">
        <v>80</v>
      </c>
      <c r="D17" s="1" t="s">
        <v>70</v>
      </c>
      <c r="E17" s="17">
        <v>500</v>
      </c>
      <c r="F17" s="17">
        <f>5%*I17</f>
        <v>2000</v>
      </c>
      <c r="G17" s="17">
        <f>40%*I17</f>
        <v>16000</v>
      </c>
      <c r="H17" s="17">
        <f>12%*I17</f>
        <v>4800</v>
      </c>
      <c r="I17" s="26">
        <v>40000</v>
      </c>
      <c r="J17" s="17">
        <f>SUM(E17:G17)</f>
        <v>18500</v>
      </c>
      <c r="K17" s="17">
        <f>J17-H17</f>
        <v>13700</v>
      </c>
      <c r="L17" s="17">
        <v>30000</v>
      </c>
      <c r="M17" s="17">
        <f t="shared" si="0"/>
        <v>-16300</v>
      </c>
    </row>
    <row r="18" spans="1:13" x14ac:dyDescent="0.25">
      <c r="A18" s="1" t="s">
        <v>29</v>
      </c>
      <c r="B18">
        <v>45</v>
      </c>
      <c r="C18" t="s">
        <v>80</v>
      </c>
      <c r="D18" s="1" t="s">
        <v>71</v>
      </c>
      <c r="E18" s="17">
        <v>500</v>
      </c>
      <c r="F18" s="17">
        <f>5%*I18</f>
        <v>1150</v>
      </c>
      <c r="G18" s="17">
        <f>40%*I18</f>
        <v>9200</v>
      </c>
      <c r="H18" s="17">
        <f>12%*I18</f>
        <v>2760</v>
      </c>
      <c r="I18" s="26">
        <v>23000</v>
      </c>
      <c r="J18" s="17">
        <f>SUM(E18:G18)</f>
        <v>10850</v>
      </c>
      <c r="K18" s="17">
        <f>J18-H18</f>
        <v>8090</v>
      </c>
      <c r="L18" s="17">
        <v>0</v>
      </c>
      <c r="M18" s="17">
        <f t="shared" si="0"/>
        <v>8090</v>
      </c>
    </row>
    <row r="19" spans="1:13" x14ac:dyDescent="0.25">
      <c r="A19" s="1" t="s">
        <v>30</v>
      </c>
      <c r="B19">
        <v>35</v>
      </c>
      <c r="C19" t="s">
        <v>80</v>
      </c>
      <c r="D19" s="1" t="s">
        <v>72</v>
      </c>
      <c r="E19" s="17">
        <v>500</v>
      </c>
      <c r="F19" s="17">
        <f>5%*I19</f>
        <v>850</v>
      </c>
      <c r="G19" s="17">
        <f>40%*I19</f>
        <v>6800</v>
      </c>
      <c r="H19" s="17">
        <f>12%*I19</f>
        <v>2040</v>
      </c>
      <c r="I19" s="26">
        <v>17000</v>
      </c>
      <c r="J19" s="17">
        <f>SUM(E19:G19)</f>
        <v>8150</v>
      </c>
      <c r="K19" s="17">
        <f>J19-H19</f>
        <v>6110</v>
      </c>
      <c r="L19" s="17">
        <v>0</v>
      </c>
      <c r="M19" s="17">
        <f t="shared" si="0"/>
        <v>6110</v>
      </c>
    </row>
    <row r="20" spans="1:13" x14ac:dyDescent="0.25">
      <c r="A20" s="1" t="s">
        <v>31</v>
      </c>
      <c r="B20">
        <v>45</v>
      </c>
      <c r="C20" t="s">
        <v>80</v>
      </c>
      <c r="D20" s="1" t="s">
        <v>74</v>
      </c>
      <c r="E20" s="17">
        <v>500</v>
      </c>
      <c r="F20" s="17">
        <f>5%*I20</f>
        <v>3000</v>
      </c>
      <c r="G20" s="17">
        <f>40%*I20</f>
        <v>24000</v>
      </c>
      <c r="H20" s="17">
        <f>12%*I20</f>
        <v>7200</v>
      </c>
      <c r="I20" s="26">
        <v>60000</v>
      </c>
      <c r="J20" s="17">
        <f>SUM(E20:G20)</f>
        <v>27500</v>
      </c>
      <c r="K20" s="17">
        <f>J20-H20</f>
        <v>20300</v>
      </c>
      <c r="L20" s="17">
        <v>9000</v>
      </c>
      <c r="M20" s="17">
        <f t="shared" si="0"/>
        <v>11300</v>
      </c>
    </row>
    <row r="21" spans="1:13" x14ac:dyDescent="0.25">
      <c r="A21" s="1" t="s">
        <v>32</v>
      </c>
      <c r="B21">
        <v>43</v>
      </c>
      <c r="C21" t="s">
        <v>80</v>
      </c>
      <c r="D21" s="1" t="s">
        <v>75</v>
      </c>
      <c r="E21" s="17">
        <v>1000</v>
      </c>
      <c r="F21" s="17">
        <f>5%*I21</f>
        <v>3500</v>
      </c>
      <c r="G21" s="17">
        <f>40%*I21</f>
        <v>28000</v>
      </c>
      <c r="H21" s="17">
        <f>12%*I21</f>
        <v>8400</v>
      </c>
      <c r="I21" s="26">
        <v>70000</v>
      </c>
      <c r="J21" s="17">
        <f>SUM(E21:G21)</f>
        <v>32500</v>
      </c>
      <c r="K21" s="17">
        <f>J21-H21</f>
        <v>24100</v>
      </c>
      <c r="L21" s="17">
        <v>20000</v>
      </c>
      <c r="M21" s="17">
        <f t="shared" si="0"/>
        <v>4100</v>
      </c>
    </row>
    <row r="22" spans="1:13" x14ac:dyDescent="0.25">
      <c r="A22" s="1" t="s">
        <v>33</v>
      </c>
      <c r="B22">
        <v>33</v>
      </c>
      <c r="C22" t="s">
        <v>80</v>
      </c>
      <c r="D22" s="1" t="s">
        <v>76</v>
      </c>
      <c r="E22" s="17">
        <v>500</v>
      </c>
      <c r="F22" s="17">
        <f>5%*I22</f>
        <v>1500</v>
      </c>
      <c r="G22" s="17">
        <f>40%*I22</f>
        <v>12000</v>
      </c>
      <c r="H22" s="17">
        <f>12%*I22</f>
        <v>3600</v>
      </c>
      <c r="I22" s="26">
        <v>30000</v>
      </c>
      <c r="J22" s="17">
        <f>SUM(E22:G22)</f>
        <v>14000</v>
      </c>
      <c r="K22" s="17">
        <f>J22-H22</f>
        <v>10400</v>
      </c>
      <c r="L22" s="17">
        <v>0</v>
      </c>
      <c r="M22" s="17">
        <f t="shared" si="0"/>
        <v>10400</v>
      </c>
    </row>
    <row r="23" spans="1:13" x14ac:dyDescent="0.25">
      <c r="A23" s="1" t="s">
        <v>34</v>
      </c>
      <c r="B23">
        <v>23</v>
      </c>
      <c r="C23" t="s">
        <v>80</v>
      </c>
      <c r="D23" s="1" t="s">
        <v>78</v>
      </c>
      <c r="E23" s="17">
        <v>500</v>
      </c>
      <c r="F23" s="17">
        <f>5%*I23</f>
        <v>750</v>
      </c>
      <c r="G23" s="17">
        <f>40%*I23</f>
        <v>6000</v>
      </c>
      <c r="H23" s="17">
        <f>12%*I23</f>
        <v>1800</v>
      </c>
      <c r="I23" s="26">
        <v>15000</v>
      </c>
      <c r="J23" s="17">
        <f>SUM(E23:G23)</f>
        <v>7250</v>
      </c>
      <c r="K23" s="17">
        <f>J23-H23</f>
        <v>5450</v>
      </c>
      <c r="L23" s="17">
        <v>10000</v>
      </c>
      <c r="M23" s="17">
        <f t="shared" si="0"/>
        <v>-4550</v>
      </c>
    </row>
    <row r="24" spans="1:13" x14ac:dyDescent="0.25">
      <c r="A24" s="1" t="s">
        <v>35</v>
      </c>
      <c r="B24">
        <v>29</v>
      </c>
      <c r="C24" t="s">
        <v>80</v>
      </c>
      <c r="D24" s="1" t="s">
        <v>73</v>
      </c>
      <c r="E24" s="17">
        <v>500</v>
      </c>
      <c r="F24" s="17">
        <f>5%*I24</f>
        <v>1000</v>
      </c>
      <c r="G24" s="17">
        <f>40%*I24</f>
        <v>8000</v>
      </c>
      <c r="H24" s="17">
        <f>12%*I24</f>
        <v>2400</v>
      </c>
      <c r="I24" s="26">
        <v>20000</v>
      </c>
      <c r="J24" s="17">
        <f>SUM(E24:G24)</f>
        <v>9500</v>
      </c>
      <c r="K24" s="17">
        <f>J24-H24</f>
        <v>7100</v>
      </c>
      <c r="L24" s="17">
        <v>0</v>
      </c>
      <c r="M24" s="17">
        <f t="shared" si="0"/>
        <v>7100</v>
      </c>
    </row>
    <row r="25" spans="1:13" x14ac:dyDescent="0.25">
      <c r="A25" s="1" t="s">
        <v>36</v>
      </c>
      <c r="B25">
        <v>19</v>
      </c>
      <c r="C25" t="s">
        <v>80</v>
      </c>
      <c r="D25" s="1" t="s">
        <v>77</v>
      </c>
      <c r="E25" s="17">
        <v>500</v>
      </c>
      <c r="F25" s="17">
        <f>5%*I25</f>
        <v>350</v>
      </c>
      <c r="G25" s="17">
        <f>40%*I25</f>
        <v>2800</v>
      </c>
      <c r="H25" s="17">
        <f>12%*I25</f>
        <v>840</v>
      </c>
      <c r="I25" s="26">
        <v>7000</v>
      </c>
      <c r="J25" s="17">
        <f>SUM(E25:G25)</f>
        <v>3650</v>
      </c>
      <c r="K25" s="17">
        <f>J25-H25</f>
        <v>2810</v>
      </c>
      <c r="L25" s="17">
        <v>0</v>
      </c>
      <c r="M25" s="17">
        <f t="shared" si="0"/>
        <v>2810</v>
      </c>
    </row>
    <row r="26" spans="1:13" x14ac:dyDescent="0.25">
      <c r="A26" s="1" t="s">
        <v>37</v>
      </c>
      <c r="B26">
        <v>25</v>
      </c>
      <c r="C26" t="s">
        <v>80</v>
      </c>
      <c r="D26" s="1" t="s">
        <v>79</v>
      </c>
      <c r="E26" s="17">
        <v>500</v>
      </c>
      <c r="F26" s="17">
        <f>5%*I26</f>
        <v>400</v>
      </c>
      <c r="G26" s="17">
        <f>40%*I26</f>
        <v>3200</v>
      </c>
      <c r="H26" s="17">
        <f>12%*I26</f>
        <v>960</v>
      </c>
      <c r="I26" s="26">
        <v>8000</v>
      </c>
      <c r="J26" s="17">
        <f>SUM(E26:G26)</f>
        <v>4100</v>
      </c>
      <c r="K26" s="17">
        <f>J26-H26</f>
        <v>3140</v>
      </c>
      <c r="L26" s="17">
        <v>1000</v>
      </c>
      <c r="M26" s="17">
        <f t="shared" si="0"/>
        <v>2140</v>
      </c>
    </row>
  </sheetData>
  <dataConsolidate/>
  <mergeCells count="3">
    <mergeCell ref="E1:H1"/>
    <mergeCell ref="A1:D1"/>
    <mergeCell ref="J1:M1"/>
  </mergeCells>
  <dataValidations count="1">
    <dataValidation type="whole" allowBlank="1" showInputMessage="1" showErrorMessage="1" sqref="B4:B26" xr:uid="{35B24213-3ADE-124E-8E57-DB8AF0FCE77F}">
      <formula1>18</formula1>
      <formula2>60</formula2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Marksheet</vt:lpstr>
      <vt:lpstr>Pivot (Marksheet)</vt:lpstr>
      <vt:lpstr>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Halder</dc:creator>
  <cp:lastModifiedBy>Microsoft Office User</cp:lastModifiedBy>
  <dcterms:created xsi:type="dcterms:W3CDTF">2024-11-20T13:40:36Z</dcterms:created>
  <dcterms:modified xsi:type="dcterms:W3CDTF">2024-11-22T08:00:48Z</dcterms:modified>
</cp:coreProperties>
</file>